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1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2.xml" ContentType="application/vnd.openxmlformats-officedocument.spreadsheetml.table+xml"/>
  <Override PartName="/xl/worksheets/sheet30.xml" ContentType="application/vnd.openxmlformats-officedocument.spreadsheetml.worksheet+xml"/>
  <Override PartName="/xl/tables/table3.xml" ContentType="application/vnd.openxmlformats-officedocument.spreadsheetml.table+xml"/>
  <Override PartName="/xl/worksheets/sheet31.xml" ContentType="application/vnd.openxmlformats-officedocument.spreadsheetml.worksheet+xml"/>
  <Override PartName="/xl/tables/table4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5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ables/table6.xml" ContentType="application/vnd.openxmlformats-officedocument.spreadsheetml.table+xml"/>
  <Override PartName="/xl/worksheets/sheet37.xml" ContentType="application/vnd.openxmlformats-officedocument.spreadsheetml.worksheet+xml"/>
  <Override PartName="/xl/tables/table7.xml" ContentType="application/vnd.openxmlformats-officedocument.spreadsheetml.table+xml"/>
  <Override PartName="/xl/worksheets/sheet38.xml" ContentType="application/vnd.openxmlformats-officedocument.spreadsheetml.worksheet+xml"/>
  <Override PartName="/xl/tables/table8.xml" ContentType="application/vnd.openxmlformats-officedocument.spreadsheetml.table+xml"/>
  <Override PartName="/xl/worksheets/sheet39.xml" ContentType="application/vnd.openxmlformats-officedocument.spreadsheetml.worksheet+xml"/>
  <Override PartName="/xl/tables/table9.xml" ContentType="application/vnd.openxmlformats-officedocument.spreadsheetml.table+xml"/>
  <Override PartName="/xl/worksheets/sheet40.xml" ContentType="application/vnd.openxmlformats-officedocument.spreadsheetml.worksheet+xml"/>
  <Override PartName="/xl/tables/table10.xml" ContentType="application/vnd.openxmlformats-officedocument.spreadsheetml.table+xml"/>
  <Override PartName="/xl/worksheets/sheet41.xml" ContentType="application/vnd.openxmlformats-officedocument.spreadsheetml.worksheet+xml"/>
  <Override PartName="/xl/tables/table11.xml" ContentType="application/vnd.openxmlformats-officedocument.spreadsheetml.table+xml"/>
  <Override PartName="/xl/worksheets/sheet42.xml" ContentType="application/vnd.openxmlformats-officedocument.spreadsheetml.worksheet+xml"/>
  <Override PartName="/xl/tables/table12.xml" ContentType="application/vnd.openxmlformats-officedocument.spreadsheetml.table+xml"/>
  <Override PartName="/xl/worksheets/sheet43.xml" ContentType="application/vnd.openxmlformats-officedocument.spreadsheetml.worksheet+xml"/>
  <Override PartName="/xl/tables/table13.xml" ContentType="application/vnd.openxmlformats-officedocument.spreadsheetml.table+xml"/>
  <Override PartName="/xl/worksheets/sheet44.xml" ContentType="application/vnd.openxmlformats-officedocument.spreadsheetml.worksheet+xml"/>
  <Override PartName="/xl/tables/table14.xml" ContentType="application/vnd.openxmlformats-officedocument.spreadsheetml.table+xml"/>
  <Override PartName="/xl/worksheets/sheet45.xml" ContentType="application/vnd.openxmlformats-officedocument.spreadsheetml.worksheet+xml"/>
  <Override PartName="/xl/tables/table15.xml" ContentType="application/vnd.openxmlformats-officedocument.spreadsheetml.table+xml"/>
  <Override PartName="/xl/worksheets/sheet46.xml" ContentType="application/vnd.openxmlformats-officedocument.spreadsheetml.worksheet+xml"/>
  <Override PartName="/xl/tables/table16.xml" ContentType="application/vnd.openxmlformats-officedocument.spreadsheetml.table+xml"/>
  <Override PartName="/xl/worksheets/sheet47.xml" ContentType="application/vnd.openxmlformats-officedocument.spreadsheetml.worksheet+xml"/>
  <Override PartName="/xl/tables/table17.xml" ContentType="application/vnd.openxmlformats-officedocument.spreadsheetml.table+xml"/>
  <Override PartName="/xl/worksheets/sheet48.xml" ContentType="application/vnd.openxmlformats-officedocument.spreadsheetml.worksheet+xml"/>
  <Override PartName="/xl/tables/table18.xml" ContentType="application/vnd.openxmlformats-officedocument.spreadsheetml.table+xml"/>
  <Override PartName="/xl/worksheets/sheet49.xml" ContentType="application/vnd.openxmlformats-officedocument.spreadsheetml.worksheet+xml"/>
  <Override PartName="/xl/tables/table19.xml" ContentType="application/vnd.openxmlformats-officedocument.spreadsheetml.table+xml"/>
  <Override PartName="/xl/worksheets/sheet50.xml" ContentType="application/vnd.openxmlformats-officedocument.spreadsheetml.worksheet+xml"/>
  <Override PartName="/xl/tables/table20.xml" ContentType="application/vnd.openxmlformats-officedocument.spreadsheetml.table+xml"/>
  <Override PartName="/xl/worksheets/sheet51.xml" ContentType="application/vnd.openxmlformats-officedocument.spreadsheetml.worksheet+xml"/>
  <Override PartName="/xl/tables/table21.xml" ContentType="application/vnd.openxmlformats-officedocument.spreadsheetml.table+xml"/>
  <Override PartName="/xl/worksheets/sheet52.xml" ContentType="application/vnd.openxmlformats-officedocument.spreadsheetml.worksheet+xml"/>
  <Override PartName="/xl/tables/table22.xml" ContentType="application/vnd.openxmlformats-officedocument.spreadsheetml.table+xml"/>
  <Override PartName="/xl/worksheets/sheet53.xml" ContentType="application/vnd.openxmlformats-officedocument.spreadsheetml.worksheet+xml"/>
  <Override PartName="/xl/tables/table23.xml" ContentType="application/vnd.openxmlformats-officedocument.spreadsheetml.table+xml"/>
  <Override PartName="/xl/worksheets/sheet54.xml" ContentType="application/vnd.openxmlformats-officedocument.spreadsheetml.worksheet+xml"/>
  <Override PartName="/xl/tables/table24.xml" ContentType="application/vnd.openxmlformats-officedocument.spreadsheetml.table+xml"/>
  <Override PartName="/xl/worksheets/sheet55.xml" ContentType="application/vnd.openxmlformats-officedocument.spreadsheetml.worksheet+xml"/>
  <Override PartName="/xl/tables/table25.xml" ContentType="application/vnd.openxmlformats-officedocument.spreadsheetml.table+xml"/>
  <Override PartName="/xl/worksheets/sheet56.xml" ContentType="application/vnd.openxmlformats-officedocument.spreadsheetml.worksheet+xml"/>
  <Override PartName="/xl/tables/table26.xml" ContentType="application/vnd.openxmlformats-officedocument.spreadsheetml.table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ables/table27.xml" ContentType="application/vnd.openxmlformats-officedocument.spreadsheetml.table+xml"/>
  <Override PartName="/xl/worksheets/sheet59.xml" ContentType="application/vnd.openxmlformats-officedocument.spreadsheetml.worksheet+xml"/>
  <Override PartName="/xl/tables/table28.xml" ContentType="application/vnd.openxmlformats-officedocument.spreadsheetml.table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ables/table29.xml" ContentType="application/vnd.openxmlformats-officedocument.spreadsheetml.table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drawings/drawing3.xml" ContentType="application/vnd.openxmlformats-officedocument.drawing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view Queue" sheetId="3" state="visible" r:id="rId3"/>
    <sheet xmlns:r="http://schemas.openxmlformats.org/officeDocument/2006/relationships" name="Portfolio Explorer" sheetId="4" state="visible" r:id="rId4"/>
    <sheet xmlns:r="http://schemas.openxmlformats.org/officeDocument/2006/relationships" name="Implementation Hotspots" sheetId="5" state="visible" r:id="rId5"/>
    <sheet xmlns:r="http://schemas.openxmlformats.org/officeDocument/2006/relationships" name="Operator Outcomes" sheetId="6" state="visible" r:id="rId6"/>
    <sheet xmlns:r="http://schemas.openxmlformats.org/officeDocument/2006/relationships" name="Approval Ledger" sheetId="7" state="visible" r:id="rId7"/>
    <sheet xmlns:r="http://schemas.openxmlformats.org/officeDocument/2006/relationships" name="Historical Intelligence" sheetId="8" state="visible" r:id="rId8"/>
    <sheet xmlns:r="http://schemas.openxmlformats.org/officeDocument/2006/relationships" name="Repo Detail" sheetId="9" state="visible" r:id="rId9"/>
    <sheet xmlns:r="http://schemas.openxmlformats.org/officeDocument/2006/relationships" name="Executive Summary" sheetId="10" state="visible" r:id="rId10"/>
    <sheet xmlns:r="http://schemas.openxmlformats.org/officeDocument/2006/relationships" name="By Lens" sheetId="11" state="visible" r:id="rId11"/>
    <sheet xmlns:r="http://schemas.openxmlformats.org/officeDocument/2006/relationships" name="By Collection" sheetId="12" state="visible" r:id="rId12"/>
    <sheet xmlns:r="http://schemas.openxmlformats.org/officeDocument/2006/relationships" name="Trend Summary" sheetId="13" state="visible" r:id="rId13"/>
    <sheet xmlns:r="http://schemas.openxmlformats.org/officeDocument/2006/relationships" name="Run Changes" sheetId="14" state="visible" r:id="rId14"/>
    <sheet xmlns:r="http://schemas.openxmlformats.org/officeDocument/2006/relationships" name="Campaigns" sheetId="15" state="visible" r:id="rId15"/>
    <sheet xmlns:r="http://schemas.openxmlformats.org/officeDocument/2006/relationships" name="Governance Controls" sheetId="16" state="visible" r:id="rId16"/>
    <sheet xmlns:r="http://schemas.openxmlformats.org/officeDocument/2006/relationships" name="Print Pack" sheetId="17" state="visible" r:id="rId17"/>
    <sheet xmlns:r="http://schemas.openxmlformats.org/officeDocument/2006/relationships" name="Action Items" sheetId="18" state="hidden" r:id="rId18"/>
    <sheet xmlns:r="http://schemas.openxmlformats.org/officeDocument/2006/relationships" name="Activity" sheetId="19" state="hidden" r:id="rId19"/>
    <sheet xmlns:r="http://schemas.openxmlformats.org/officeDocument/2006/relationships" name="All Repos" sheetId="20" state="visible" r:id="rId20"/>
    <sheet xmlns:r="http://schemas.openxmlformats.org/officeDocument/2006/relationships" name="Badges" sheetId="21" state="hidden" r:id="rId21"/>
    <sheet xmlns:r="http://schemas.openxmlformats.org/officeDocument/2006/relationships" name="Changes" sheetId="22" state="hidden" r:id="rId22"/>
    <sheet xmlns:r="http://schemas.openxmlformats.org/officeDocument/2006/relationships" name="Compare" sheetId="23" state="hidden" r:id="rId23"/>
    <sheet xmlns:r="http://schemas.openxmlformats.org/officeDocument/2006/relationships" name="Data_ActionSyncAutomation" sheetId="24" state="hidden" r:id="rId24"/>
    <sheet xmlns:r="http://schemas.openxmlformats.org/officeDocument/2006/relationships" name="Data_ActionSyncOutcomes" sheetId="25" state="hidden" r:id="rId25"/>
    <sheet xmlns:r="http://schemas.openxmlformats.org/officeDocument/2006/relationships" name="Data_Actions" sheetId="26" state="hidden" r:id="rId26"/>
    <sheet xmlns:r="http://schemas.openxmlformats.org/officeDocument/2006/relationships" name="Data_ApprovalLedger" sheetId="27" state="hidden" r:id="rId27"/>
    <sheet xmlns:r="http://schemas.openxmlformats.org/officeDocument/2006/relationships" name="Data_CampaignTuning" sheetId="28" state="hidden" r:id="rId28"/>
    <sheet xmlns:r="http://schemas.openxmlformats.org/officeDocument/2006/relationships" name="Data_Campaigns" sheetId="29" state="hidden" r:id="rId29"/>
    <sheet xmlns:r="http://schemas.openxmlformats.org/officeDocument/2006/relationships" name="Data_Collections" sheetId="30" state="hidden" r:id="rId30"/>
    <sheet xmlns:r="http://schemas.openxmlformats.org/officeDocument/2006/relationships" name="Data_Dimensions" sheetId="31" state="hidden" r:id="rId31"/>
    <sheet xmlns:r="http://schemas.openxmlformats.org/officeDocument/2006/relationships" name="Data_Governance" sheetId="32" state="hidden" r:id="rId32"/>
    <sheet xmlns:r="http://schemas.openxmlformats.org/officeDocument/2006/relationships" name="Data_History" sheetId="33" state="hidden" r:id="rId33"/>
    <sheet xmlns:r="http://schemas.openxmlformats.org/officeDocument/2006/relationships" name="Data_ImplementationHotspots" sheetId="34" state="hidden" r:id="rId34"/>
    <sheet xmlns:r="http://schemas.openxmlformats.org/officeDocument/2006/relationships" name="Data_InterventionLedger" sheetId="35" state="hidden" r:id="rId35"/>
    <sheet xmlns:r="http://schemas.openxmlformats.org/officeDocument/2006/relationships" name="Data_Lenses" sheetId="36" state="hidden" r:id="rId36"/>
    <sheet xmlns:r="http://schemas.openxmlformats.org/officeDocument/2006/relationships" name="Data_MaterialChangeRollups" sheetId="37" state="hidden" r:id="rId37"/>
    <sheet xmlns:r="http://schemas.openxmlformats.org/officeDocument/2006/relationships" name="Data_OperatorOutcomes" sheetId="38" state="hidden" r:id="rId38"/>
    <sheet xmlns:r="http://schemas.openxmlformats.org/officeDocument/2006/relationships" name="Data_OperatorQueue" sheetId="39" state="hidden" r:id="rId39"/>
    <sheet xmlns:r="http://schemas.openxmlformats.org/officeDocument/2006/relationships" name="Data_OperatorRepoRollups" sheetId="40" state="hidden" r:id="rId40"/>
    <sheet xmlns:r="http://schemas.openxmlformats.org/officeDocument/2006/relationships" name="Data_PortfolioCatalog" sheetId="41" state="hidden" r:id="rId41"/>
    <sheet xmlns:r="http://schemas.openxmlformats.org/officeDocument/2006/relationships" name="Data_PortfolioHistory" sheetId="42" state="hidden" r:id="rId42"/>
    <sheet xmlns:r="http://schemas.openxmlformats.org/officeDocument/2006/relationships" name="Data_RepoDetail" sheetId="43" state="hidden" r:id="rId43"/>
    <sheet xmlns:r="http://schemas.openxmlformats.org/officeDocument/2006/relationships" name="Data_RepoDimensionRollups" sheetId="44" state="hidden" r:id="rId44"/>
    <sheet xmlns:r="http://schemas.openxmlformats.org/officeDocument/2006/relationships" name="Data_RepoHistoryRollups" sheetId="45" state="hidden" r:id="rId45"/>
    <sheet xmlns:r="http://schemas.openxmlformats.org/officeDocument/2006/relationships" name="Data_Repos" sheetId="46" state="hidden" r:id="rId46"/>
    <sheet xmlns:r="http://schemas.openxmlformats.org/officeDocument/2006/relationships" name="Data_ReviewHistory" sheetId="47" state="hidden" r:id="rId47"/>
    <sheet xmlns:r="http://schemas.openxmlformats.org/officeDocument/2006/relationships" name="Data_ReviewTargets" sheetId="48" state="hidden" r:id="rId48"/>
    <sheet xmlns:r="http://schemas.openxmlformats.org/officeDocument/2006/relationships" name="Data_Rollups" sheetId="49" state="hidden" r:id="rId49"/>
    <sheet xmlns:r="http://schemas.openxmlformats.org/officeDocument/2006/relationships" name="Data_RunChangeRepoData" sheetId="50" state="hidden" r:id="rId50"/>
    <sheet xmlns:r="http://schemas.openxmlformats.org/officeDocument/2006/relationships" name="Data_RunChangeRollups" sheetId="51" state="hidden" r:id="rId51"/>
    <sheet xmlns:r="http://schemas.openxmlformats.org/officeDocument/2006/relationships" name="Data_Scenarios" sheetId="52" state="hidden" r:id="rId52"/>
    <sheet xmlns:r="http://schemas.openxmlformats.org/officeDocument/2006/relationships" name="Data_Scorecards" sheetId="53" state="hidden" r:id="rId53"/>
    <sheet xmlns:r="http://schemas.openxmlformats.org/officeDocument/2006/relationships" name="Data_Security" sheetId="54" state="hidden" r:id="rId54"/>
    <sheet xmlns:r="http://schemas.openxmlformats.org/officeDocument/2006/relationships" name="Data_SecurityAlerts" sheetId="55" state="hidden" r:id="rId55"/>
    <sheet xmlns:r="http://schemas.openxmlformats.org/officeDocument/2006/relationships" name="Data_SecurityControls" sheetId="56" state="hidden" r:id="rId56"/>
    <sheet xmlns:r="http://schemas.openxmlformats.org/officeDocument/2006/relationships" name="Data_SecurityProviders" sheetId="57" state="hidden" r:id="rId57"/>
    <sheet xmlns:r="http://schemas.openxmlformats.org/officeDocument/2006/relationships" name="Data_TrendMatrix" sheetId="58" state="hidden" r:id="rId58"/>
    <sheet xmlns:r="http://schemas.openxmlformats.org/officeDocument/2006/relationships" name="Data_Writeback" sheetId="59" state="hidden" r:id="rId59"/>
    <sheet xmlns:r="http://schemas.openxmlformats.org/officeDocument/2006/relationships" name="Dep Graph" sheetId="60" state="hidden" r:id="rId60"/>
    <sheet xmlns:r="http://schemas.openxmlformats.org/officeDocument/2006/relationships" name="Governance Audit" sheetId="61" state="hidden" r:id="rId61"/>
    <sheet xmlns:r="http://schemas.openxmlformats.org/officeDocument/2006/relationships" name="Hotspots" sheetId="62" state="hidden" r:id="rId62"/>
    <sheet xmlns:r="http://schemas.openxmlformats.org/officeDocument/2006/relationships" name="Initiative Tracker" sheetId="63" state="hidden" r:id="rId63"/>
    <sheet xmlns:r="http://schemas.openxmlformats.org/officeDocument/2006/relationships" name="Lookups" sheetId="64" state="hidden" r:id="rId64"/>
    <sheet xmlns:r="http://schemas.openxmlformats.org/officeDocument/2006/relationships" name="Portfolio Catalog" sheetId="65" state="visible" r:id="rId65"/>
    <sheet xmlns:r="http://schemas.openxmlformats.org/officeDocument/2006/relationships" name="Quick Wins" sheetId="66" state="hidden" r:id="rId66"/>
    <sheet xmlns:r="http://schemas.openxmlformats.org/officeDocument/2006/relationships" name="Repo Profiles" sheetId="67" state="hidden" r:id="rId67"/>
    <sheet xmlns:r="http://schemas.openxmlformats.org/officeDocument/2006/relationships" name="Review History" sheetId="68" state="hidden" r:id="rId68"/>
    <sheet xmlns:r="http://schemas.openxmlformats.org/officeDocument/2006/relationships" name="Scenario Planner" sheetId="69" state="hidden" r:id="rId69"/>
    <sheet xmlns:r="http://schemas.openxmlformats.org/officeDocument/2006/relationships" name="Score Explainer" sheetId="70" state="hidden" r:id="rId70"/>
    <sheet xmlns:r="http://schemas.openxmlformats.org/officeDocument/2006/relationships" name="Scorecards" sheetId="71" state="visible" r:id="rId71"/>
    <sheet xmlns:r="http://schemas.openxmlformats.org/officeDocument/2006/relationships" name="Scoring Heatmap" sheetId="72" state="hidden" r:id="rId72"/>
    <sheet xmlns:r="http://schemas.openxmlformats.org/officeDocument/2006/relationships" name="Security" sheetId="73" state="hidden" r:id="rId73"/>
    <sheet xmlns:r="http://schemas.openxmlformats.org/officeDocument/2006/relationships" name="Security Controls" sheetId="74" state="hidden" r:id="rId74"/>
    <sheet xmlns:r="http://schemas.openxmlformats.org/officeDocument/2006/relationships" name="Security Debt" sheetId="75" state="hidden" r:id="rId75"/>
    <sheet xmlns:r="http://schemas.openxmlformats.org/officeDocument/2006/relationships" name="Supply Chain" sheetId="76" state="hidden" r:id="rId76"/>
    <sheet xmlns:r="http://schemas.openxmlformats.org/officeDocument/2006/relationships" name="TemplateInfo" sheetId="77" state="hidden" r:id="rId77"/>
    <sheet xmlns:r="http://schemas.openxmlformats.org/officeDocument/2006/relationships" name="Tier Breakdown" sheetId="78" state="hidden" r:id="rId78"/>
    <sheet xmlns:r="http://schemas.openxmlformats.org/officeDocument/2006/relationships" name="Trends" sheetId="79" state="hidden" r:id="rId79"/>
    <sheet xmlns:r="http://schemas.openxmlformats.org/officeDocument/2006/relationships" name="Writeback Audit" sheetId="80" state="hidden" r:id="rId80"/>
  </sheets>
  <definedNames>
    <definedName name="nrGeneratedAt">'Dashboard'!$A$2</definedName>
    <definedName name="nrReviewOpenCount">'TemplateInfo'!$B$2</definedName>
    <definedName name="nrReviewDeferredCount">'TemplateInfo'!$B$3</definedName>
    <definedName name="nrReviewResolvedCount">'TemplateInfo'!$B$4</definedName>
    <definedName name="nrCampaignActionCount">'TemplateInfo'!$B$5</definedName>
    <definedName name="nrCampaignRepoCount">'TemplateInfo'!$B$6</definedName>
    <definedName name="nrGovernanceReadyCount">'TemplateInfo'!$B$7</definedName>
    <definedName name="nrGovernanceDriftCount">'TemplateInfo'!$B$8</definedName>
    <definedName name="nrPortfolioGrade">'TemplateInfo'!$B$9</definedName>
    <definedName name="nrAverageScore">'TemplateInfo'!$B$10</definedName>
    <definedName name="nrLatestReviewState">'TemplateInfo'!$B$11</definedName>
    <definedName name="nrSelectedProfileLabel">'TemplateInfo'!$B$12</definedName>
    <definedName name="nrSelectedCollectionLabel">'TemplateInfo'!$B$13</definedName>
    <definedName name="_xlnm._FilterDatabase" localSheetId="2" hidden="1">'Review Queue'!$A$68:$AO$72</definedName>
    <definedName name="_xlnm._FilterDatabase" localSheetId="3" hidden="1">'Portfolio Explorer'!$A$5:$P$8</definedName>
    <definedName name="_xlnm.Print_Titles" localSheetId="9">'Executive Summary'!$1:$4</definedName>
    <definedName name="_xlnm.Print_Area" localSheetId="9">'Executive Summary'!$A$1:$L$40</definedName>
    <definedName name="_xlnm._FilterDatabase" localSheetId="10" hidden="1">'By Lens'!$A$5:$I$8</definedName>
    <definedName name="_xlnm._FilterDatabase" localSheetId="11" hidden="1">'By Collection'!$A$5:$E$6</definedName>
    <definedName name="_xlnm._FilterDatabase" localSheetId="12" hidden="1">'Trend Summary'!$A$5:$H$6</definedName>
    <definedName name="_xlnm._FilterDatabase" localSheetId="14" hidden="1">'Campaigns'!$A$15:$H$16</definedName>
    <definedName name="_xlnm._FilterDatabase" localSheetId="15" hidden="1">'Governance Controls'!$A$11:$G$12</definedName>
    <definedName name="_xlnm.Print_Titles" localSheetId="16">'Print Pack'!$1:$4</definedName>
    <definedName name="_xlnm.Print_Area" localSheetId="16">'Print Pack'!$A$1:$F$88</definedName>
    <definedName name="_xlnm._FilterDatabase" localSheetId="17" hidden="1">'Action Items'!$A$8:$F$12</definedName>
    <definedName name="_xlnm._FilterDatabase" localSheetId="19" hidden="1">'All Repos'!$A$1:$AN$4</definedName>
    <definedName name="_xlnm._FilterDatabase" localSheetId="22" hidden="1">'Compare'!$A$11:$F$13</definedName>
    <definedName name="_xlnm._FilterDatabase" localSheetId="60" hidden="1">'Governance Audit'!$A$4:$B$15</definedName>
    <definedName name="_xlnm._FilterDatabase" localSheetId="64" hidden="1">'Portfolio Catalog'!$A$7:$O$10</definedName>
    <definedName name="_xlnm._FilterDatabase" localSheetId="67" hidden="1">'Review History'!$A$9:$G$10</definedName>
    <definedName name="_xlnm._FilterDatabase" localSheetId="68" hidden="1">'Scenario Planner'!$A$5:$F$8</definedName>
    <definedName name="_xlnm._FilterDatabase" localSheetId="70" hidden="1">'Scorecards'!$A$5:$H$8</definedName>
    <definedName name="_xlnm._FilterDatabase" localSheetId="72" hidden="1">'Security'!$A$1:$N$4</definedName>
    <definedName name="_xlnm._FilterDatabase" localSheetId="73" hidden="1">'Security Controls'!$A$1:$G$4</definedName>
    <definedName name="_xlnm._FilterDatabase" localSheetId="74" hidden="1">'Security Debt'!$A$1:$F$2</definedName>
    <definedName name="_xlnm._FilterDatabase" localSheetId="75" hidden="1">'Supply Chain'!$A$1:$F$4</definedName>
    <definedName name="_xlnm._FilterDatabase" localSheetId="79" hidden="1">'Writeback Audit'!$A$10:$F$11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Calibri"/>
      <family val="2"/>
      <color theme="1"/>
      <sz val="11"/>
      <scheme val="minor"/>
    </font>
    <font>
      <name val="Calibri"/>
      <b val="1"/>
      <color rgb="001B2A4A"/>
      <sz val="22"/>
    </font>
    <font>
      <name val="Calibri"/>
      <color rgb="0064748B"/>
      <sz val="13"/>
    </font>
    <font>
      <name val="Calibri"/>
      <i val="1"/>
      <color rgb="0064748B"/>
      <sz val="12"/>
    </font>
    <font>
      <name val="Calibri"/>
      <b val="1"/>
      <color rgb="001B2A4A"/>
      <sz val="15"/>
    </font>
    <font>
      <name val="Calibri"/>
      <color rgb="0064748B"/>
      <sz val="11"/>
    </font>
    <font>
      <name val="Calibri"/>
      <b val="1"/>
      <color rgb="0015803D"/>
      <sz val="28"/>
    </font>
    <font>
      <name val="Calibri"/>
      <b val="1"/>
      <color rgb="001B2A4A"/>
      <sz val="28"/>
    </font>
    <font>
      <name val="Calibri"/>
      <b val="1"/>
      <color rgb="00166534"/>
      <sz val="28"/>
    </font>
    <font>
      <name val="Calibri"/>
      <b val="1"/>
      <color rgb="001565C0"/>
      <sz val="28"/>
    </font>
    <font>
      <name val="Calibri"/>
      <b val="1"/>
      <color rgb="00D97706"/>
      <sz val="28"/>
    </font>
    <font>
      <name val="Calibri"/>
      <b val="1"/>
      <color rgb="00C2410C"/>
      <sz val="28"/>
    </font>
    <font>
      <name val="Calibri"/>
      <b val="1"/>
      <color rgb="001B2A4A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EA5E9"/>
      <sz val="10"/>
      <u val="single"/>
    </font>
    <font>
      <name val="Calibri"/>
      <b val="1"/>
      <color rgb="00FFFFFF"/>
      <sz val="10"/>
    </font>
    <font>
      <name val="Calibri"/>
      <b val="1"/>
      <color rgb="000EA5E9"/>
      <sz val="10"/>
      <u val="single"/>
    </font>
    <font>
      <b val="1"/>
      <color rgb="00FFFFFF"/>
      <sz val="13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EA5E9"/>
      <sz val="11"/>
      <u val="single"/>
    </font>
    <font>
      <name val="Calibri"/>
      <b val="1"/>
      <color rgb="001B2A4A"/>
      <sz val="10"/>
    </font>
  </fonts>
  <fills count="19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AF1F8"/>
      </patternFill>
    </fill>
    <fill>
      <patternFill patternType="solid">
        <fgColor rgb="00F7FAFD"/>
      </patternFill>
    </fill>
    <fill>
      <patternFill patternType="solid">
        <fgColor rgb="00166534"/>
      </patternFill>
    </fill>
    <fill>
      <patternFill patternType="solid">
        <fgColor rgb="001565C0"/>
      </patternFill>
    </fill>
    <fill>
      <patternFill patternType="solid">
        <fgColor rgb="00D97706"/>
      </patternFill>
    </fill>
    <fill>
      <patternFill patternType="solid">
        <fgColor rgb="001B2A4A"/>
      </patternFill>
    </fill>
    <fill>
      <patternFill patternType="solid">
        <fgColor rgb="00CA8A04"/>
      </patternFill>
    </fill>
    <fill>
      <patternFill patternType="solid">
        <fgColor rgb="00C2410C"/>
      </patternFill>
    </fill>
    <fill>
      <patternFill patternType="solid">
        <fgColor rgb="00E0F2FE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15803D"/>
      </patternFill>
    </fill>
    <fill>
      <patternFill patternType="solid">
        <fgColor rgb="00991B1B"/>
      </patternFill>
    </fill>
    <fill>
      <patternFill patternType="solid">
        <fgColor rgb="006B7280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4">
    <xf numFmtId="0" fontId="0" fillId="0" borderId="0"/>
    <xf numFmtId="0" fontId="13" fillId="0" borderId="5" applyAlignment="1">
      <alignment horizontal="left" vertical="center"/>
    </xf>
    <xf numFmtId="0" fontId="13" fillId="0" borderId="5" applyAlignment="1">
      <alignment horizontal="center" vertical="center"/>
    </xf>
    <xf numFmtId="0" fontId="13" fillId="0" borderId="5" applyAlignment="1">
      <alignment horizontal="right" vertical="center"/>
    </xf>
  </cellStyleXfs>
  <cellXfs count="8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2" fillId="3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left" vertical="center"/>
    </xf>
    <xf numFmtId="0" fontId="13" fillId="0" borderId="5" applyAlignment="1" pivotButton="0" quotePrefix="0" xfId="1">
      <alignment horizontal="left" vertical="center"/>
    </xf>
    <xf numFmtId="0" fontId="18" fillId="0" borderId="5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0" fillId="4" borderId="0" pivotButton="0" quotePrefix="0" xfId="0"/>
    <xf numFmtId="0" fontId="13" fillId="4" borderId="5" applyAlignment="1" pivotButton="0" quotePrefix="0" xfId="1">
      <alignment horizontal="left" vertical="center"/>
    </xf>
    <xf numFmtId="0" fontId="13" fillId="4" borderId="5" applyAlignment="1" pivotButton="0" quotePrefix="0" xfId="2">
      <alignment horizontal="center" vertical="center"/>
    </xf>
    <xf numFmtId="0" fontId="13" fillId="0" borderId="5" applyAlignment="1" pivotButton="0" quotePrefix="0" xfId="2">
      <alignment horizontal="center" vertical="center"/>
    </xf>
    <xf numFmtId="0" fontId="12" fillId="4" borderId="0" pivotButton="0" quotePrefix="0" xfId="0"/>
    <xf numFmtId="0" fontId="15" fillId="8" borderId="5" applyAlignment="1" pivotButton="0" quotePrefix="0" xfId="0">
      <alignment horizontal="center" vertical="center"/>
    </xf>
    <xf numFmtId="0" fontId="16" fillId="12" borderId="5" applyAlignment="1" pivotButton="0" quotePrefix="0" xfId="1">
      <alignment horizontal="left" vertical="center"/>
    </xf>
    <xf numFmtId="0" fontId="13" fillId="12" borderId="5" applyAlignment="1" pivotButton="0" quotePrefix="0" xfId="1">
      <alignment horizontal="left" vertical="center"/>
    </xf>
    <xf numFmtId="0" fontId="13" fillId="12" borderId="5" applyAlignment="1" pivotButton="0" quotePrefix="0" xfId="2">
      <alignment horizontal="center" vertical="center"/>
    </xf>
    <xf numFmtId="0" fontId="16" fillId="13" borderId="5" applyAlignment="1" pivotButton="0" quotePrefix="0" xfId="1">
      <alignment horizontal="left" vertical="center"/>
    </xf>
    <xf numFmtId="0" fontId="13" fillId="13" borderId="5" applyAlignment="1" pivotButton="0" quotePrefix="0" xfId="1">
      <alignment horizontal="left" vertical="center"/>
    </xf>
    <xf numFmtId="0" fontId="13" fillId="13" borderId="5" applyAlignment="1" pivotButton="0" quotePrefix="0" xfId="2">
      <alignment horizontal="center" vertical="center"/>
    </xf>
    <xf numFmtId="0" fontId="16" fillId="14" borderId="5" applyAlignment="1" pivotButton="0" quotePrefix="0" xfId="1">
      <alignment horizontal="left" vertical="center"/>
    </xf>
    <xf numFmtId="0" fontId="13" fillId="14" borderId="5" applyAlignment="1" pivotButton="0" quotePrefix="0" xfId="1">
      <alignment horizontal="left" vertical="center"/>
    </xf>
    <xf numFmtId="0" fontId="13" fillId="14" borderId="5" applyAlignment="1" pivotButton="0" quotePrefix="0" xfId="2">
      <alignment horizontal="center" vertical="center"/>
    </xf>
    <xf numFmtId="0" fontId="16" fillId="15" borderId="5" applyAlignment="1" pivotButton="0" quotePrefix="0" xfId="1">
      <alignment horizontal="left" vertical="center"/>
    </xf>
    <xf numFmtId="0" fontId="13" fillId="15" borderId="5" applyAlignment="1" pivotButton="0" quotePrefix="0" xfId="1">
      <alignment horizontal="left" vertical="center"/>
    </xf>
    <xf numFmtId="0" fontId="13" fillId="15" borderId="5" applyAlignment="1" pivotButton="0" quotePrefix="0" xfId="2">
      <alignment horizontal="center" vertical="center"/>
    </xf>
    <xf numFmtId="0" fontId="2" fillId="0" borderId="0" pivotButton="0" quotePrefix="0" xfId="0"/>
    <xf numFmtId="0" fontId="18" fillId="0" borderId="0" pivotButton="0" quotePrefix="0" xfId="0"/>
    <xf numFmtId="0" fontId="12" fillId="3" borderId="5" applyAlignment="1" pivotButton="0" quotePrefix="0" xfId="1">
      <alignment horizontal="center" vertical="center"/>
    </xf>
    <xf numFmtId="0" fontId="15" fillId="8" borderId="5" applyAlignment="1" pivotButton="0" quotePrefix="0" xfId="1">
      <alignment horizontal="center" vertical="center"/>
    </xf>
    <xf numFmtId="0" fontId="16" fillId="4" borderId="5" applyAlignment="1" pivotButton="0" quotePrefix="0" xfId="1">
      <alignment horizontal="left" vertical="center"/>
    </xf>
    <xf numFmtId="0" fontId="17" fillId="5" borderId="5" applyAlignment="1" pivotButton="0" quotePrefix="0" xfId="1">
      <alignment horizontal="left" vertical="center"/>
    </xf>
    <xf numFmtId="164" fontId="13" fillId="4" borderId="5" applyAlignment="1" pivotButton="0" quotePrefix="0" xfId="1">
      <alignment horizontal="left" vertical="center"/>
    </xf>
    <xf numFmtId="0" fontId="15" fillId="5" borderId="5" applyAlignment="1" pivotButton="0" quotePrefix="0" xfId="1">
      <alignment horizontal="left" vertical="center"/>
    </xf>
    <xf numFmtId="0" fontId="13" fillId="4" borderId="5" applyAlignment="1" pivotButton="0" quotePrefix="0" xfId="1">
      <alignment vertical="top" wrapText="1"/>
    </xf>
    <xf numFmtId="0" fontId="16" fillId="0" borderId="5" applyAlignment="1" pivotButton="0" quotePrefix="0" xfId="1">
      <alignment horizontal="left" vertical="center"/>
    </xf>
    <xf numFmtId="0" fontId="17" fillId="9" borderId="5" applyAlignment="1" pivotButton="0" quotePrefix="0" xfId="1">
      <alignment horizontal="left" vertical="center"/>
    </xf>
    <xf numFmtId="164" fontId="13" fillId="0" borderId="5" applyAlignment="1" pivotButton="0" quotePrefix="0" xfId="1">
      <alignment horizontal="left" vertical="center"/>
    </xf>
    <xf numFmtId="0" fontId="15" fillId="6" borderId="5" applyAlignment="1" pivotButton="0" quotePrefix="0" xfId="1">
      <alignment horizontal="left" vertical="center"/>
    </xf>
    <xf numFmtId="0" fontId="13" fillId="0" borderId="5" applyAlignment="1" pivotButton="0" quotePrefix="0" xfId="1">
      <alignment vertical="top" wrapText="1"/>
    </xf>
    <xf numFmtId="0" fontId="17" fillId="10" borderId="5" applyAlignment="1" pivotButton="0" quotePrefix="0" xfId="1">
      <alignment horizontal="left" vertical="center"/>
    </xf>
    <xf numFmtId="0" fontId="15" fillId="7" borderId="5" applyAlignment="1" pivotButton="0" quotePrefix="0" xfId="1">
      <alignment horizontal="left" vertical="center"/>
    </xf>
    <xf numFmtId="0" fontId="12" fillId="3" borderId="0" pivotButton="0" quotePrefix="0" xfId="0"/>
    <xf numFmtId="0" fontId="0" fillId="0" borderId="5" pivotButton="0" quotePrefix="0" xfId="0"/>
    <xf numFmtId="0" fontId="1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17" fillId="5" borderId="0" pivotButton="0" quotePrefix="0" xfId="0"/>
    <xf numFmtId="0" fontId="17" fillId="16" borderId="0" pivotButton="0" quotePrefix="0" xfId="0"/>
    <xf numFmtId="0" fontId="17" fillId="9" borderId="0" pivotButton="0" quotePrefix="0" xfId="0"/>
    <xf numFmtId="0" fontId="17" fillId="10" borderId="0" pivotButton="0" quotePrefix="0" xfId="0"/>
    <xf numFmtId="0" fontId="17" fillId="17" borderId="0" pivotButton="0" quotePrefix="0" xfId="0"/>
    <xf numFmtId="0" fontId="15" fillId="5" borderId="0" pivotButton="0" quotePrefix="0" xfId="0"/>
    <xf numFmtId="0" fontId="15" fillId="6" borderId="0" pivotButton="0" quotePrefix="0" xfId="0"/>
    <xf numFmtId="0" fontId="15" fillId="7" borderId="0" pivotButton="0" quotePrefix="0" xfId="0"/>
    <xf numFmtId="0" fontId="15" fillId="10" borderId="0" pivotButton="0" quotePrefix="0" xfId="0"/>
    <xf numFmtId="0" fontId="15" fillId="18" borderId="0" pivotButton="0" quotePrefix="0" xfId="0"/>
    <xf numFmtId="0" fontId="0" fillId="0" borderId="5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</cellXfs>
  <cellStyles count="4">
    <cellStyle name="Normal" xfId="0" builtinId="0" hidden="0"/>
    <cellStyle name="data_left" xfId="1" hidden="0"/>
    <cellStyle name="data_center" xfId="2" hidden="0"/>
    <cellStyle name="data_righ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Tier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2410C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6B7280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'Dashboard'!$X$10:$X$14</f>
            </numRef>
          </cat>
          <val>
            <numRef>
              <f>'Dashboard'!$Y$10:$Y$14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'Dashboard'!$AA$10:$AA$14</f>
            </numRef>
          </cat>
          <val>
            <numRef>
              <f>'Dashboard'!$AB$10:$AB$14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Languages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'Dashboard'!$AD$10:$AD$11</f>
            </numRef>
          </cat>
          <val>
            <numRef>
              <f>'Dashboard'!$AE$10:$AE$11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Completeness vs Interest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1"/>
          <order val="1"/>
          <spPr>
            <a:ln xmlns:a="http://schemas.openxmlformats.org/drawingml/2006/main" w="12700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2"/>
          <order val="2"/>
          <spPr>
            <a:ln xmlns:a="http://schemas.openxmlformats.org/drawingml/2006/main" w="12700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Completeness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Interest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Badge Distribution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numRef>
              <f>'Badges'!$A$5:$A$6</f>
            </numRef>
          </cat>
          <val>
            <numRef>
              <f>'Badges'!$B$5:$B$6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Repos 1-3</a:t>
            </a:r>
          </a:p>
        </rich>
      </tx>
    </title>
    <plotArea>
      <radarChart>
        <radarStyle val="filled"/>
        <ser>
          <idx val="0"/>
          <order val="0"/>
          <tx>
            <strRef>
              <f>'Repo Profiles'!B1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 Profiles'!$A$2:$A$11</f>
            </numRef>
          </cat>
          <val>
            <numRef>
              <f>'Repo Profiles'!$B$2:$B$11</f>
            </numRef>
          </val>
        </ser>
        <ser>
          <idx val="1"/>
          <order val="1"/>
          <tx>
            <strRef>
              <f>'Repo Profiles'!C1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 Profiles'!$A$2:$A$11</f>
            </numRef>
          </cat>
          <val>
            <numRef>
              <f>'Repo Profiles'!$C$2:$C$11</f>
            </numRef>
          </val>
        </ser>
        <ser>
          <idx val="2"/>
          <order val="2"/>
          <tx>
            <strRef>
              <f>'Repo Profiles'!D1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 Profiles'!$A$2:$A$11</f>
            </numRef>
          </cat>
          <val>
            <numRef>
              <f>'Repo Profiles'!$D$2:$D$11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3024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024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288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33</row>
      <rowOff>0</rowOff>
    </from>
    <ext cx="37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Actions" displayName="tblActions" ref="A1:I4" headerRowCount="1">
  <autoFilter ref="A1:I4"/>
  <tableColumns count="9">
    <tableColumn id="1" name="Repo"/>
    <tableColumn id="2" name="Key"/>
    <tableColumn id="3" name="Title"/>
    <tableColumn id="4" name="Lens"/>
    <tableColumn id="5" name="Effort"/>
    <tableColumn id="6" name="Confidence"/>
    <tableColumn id="7" name="Expected Lens Delta"/>
    <tableColumn id="8" name="Expected Tier Movement"/>
    <tableColumn id="9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mpaigns" displayName="tblCampaigns" ref="A1:F2" headerRowCount="1">
  <autoFilter ref="A1:F2"/>
  <tableColumns count="6">
    <tableColumn id="1" name="Campaign Type"/>
    <tableColumn id="2" name="Label"/>
    <tableColumn id="3" name="Profile"/>
    <tableColumn id="4" name="Collection"/>
    <tableColumn id="5" name="Actions"/>
    <tableColumn id="6" name="Rep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llections" displayName="tblCollections" ref="A1:E2" headerRowCount="1">
  <autoFilter ref="A1:E2"/>
  <tableColumns count="5">
    <tableColumn id="1" name="Collection"/>
    <tableColumn id="2" name="Repo"/>
    <tableColumn id="3" name="Rank"/>
    <tableColumn id="4" name="Reason"/>
    <tableColumn id="5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imensions" displayName="tblDimensions" ref="A1:E7" headerRowCount="1">
  <autoFilter ref="A1:E7"/>
  <tableColumns count="5">
    <tableColumn id="1" name="Repo"/>
    <tableColumn id="2" name="Dimension"/>
    <tableColumn id="3" name="Score"/>
    <tableColumn id="4" name="Max Score"/>
    <tableColumn id="5" name="Finding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History" displayName="tblHistory" ref="A1:C5" headerRowCount="1">
  <autoFilter ref="A1:C5"/>
  <tableColumns count="3">
    <tableColumn id="1" name="Series"/>
    <tableColumn id="2" name="Run Index"/>
    <tableColumn id="3" name="Sco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enses" displayName="tblLenses" ref="A1:F13" headerRowCount="1">
  <autoFilter ref="A1:F13"/>
  <tableColumns count="6">
    <tableColumn id="1" name="Repo"/>
    <tableColumn id="2" name="Lens"/>
    <tableColumn id="3" name="Score"/>
    <tableColumn id="4" name="Orientation"/>
    <tableColumn id="5" name="Summary"/>
    <tableColumn id="6" name="Driv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MaterialChangeRollups" displayName="tblMaterialChangeRollups" ref="A1:E3" headerRowCount="1">
  <autoFilter ref="A1:E3"/>
  <tableColumns count="5">
    <tableColumn id="1" name="Repo"/>
    <tableColumn id="2" name="Change Type"/>
    <tableColumn id="3" name="Count"/>
    <tableColumn id="4" name="Max Severity"/>
    <tableColumn id="5" name="Sample Tit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OperatorOutcomesData" displayName="tblOperatorOutcomesData" ref="A1:F6" headerRowCount="1">
  <autoFilter ref="A1:F6"/>
  <tableColumns count="6">
    <tableColumn id="1" name="Metric"/>
    <tableColumn id="2" name="Status"/>
    <tableColumn id="3" name="Value"/>
    <tableColumn id="4" name="Numerator"/>
    <tableColumn id="5" name="Denominator"/>
    <tableColumn id="6" name="Summ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OperatorQueueData" displayName="tblOperatorQueueData" ref="A1:CO5" headerRowCount="1">
  <autoFilter ref="A1:CO5"/>
  <tableColumns count="93">
    <tableColumn id="1" name="Item ID"/>
    <tableColumn id="2" name="Repo"/>
    <tableColumn id="3" name="Kind"/>
    <tableColumn id="4" name="Lane"/>
    <tableColumn id="5" name="Priority"/>
    <tableColumn id="6" name="Title"/>
    <tableColumn id="7" name="Summary"/>
    <tableColumn id="8" name="Recommended Action"/>
    <tableColumn id="9" name="Source Run"/>
    <tableColumn id="10" name="Age Days"/>
    <tableColumn id="11" name="Links"/>
    <tableColumn id="12" name="Follow-Through Age Runs"/>
    <tableColumn id="13" name="Follow-Through Status"/>
    <tableColumn id="14" name="Follow-Through Checkpoint Status"/>
    <tableColumn id="15" name="Follow-Through Summary"/>
    <tableColumn id="16" name="Follow-Through Last Touch"/>
    <tableColumn id="17" name="Follow-Through Next Checkpoint"/>
    <tableColumn id="18" name="Follow-Through Evidence Hint"/>
    <tableColumn id="19" name="Follow-Through Escalation Status"/>
    <tableColumn id="20" name="Follow-Through Escalation Summary"/>
    <tableColumn id="21" name="Follow-Through Escalation Reason"/>
    <tableColumn id="22" name="Follow-Through Recovery Age Runs"/>
    <tableColumn id="23" name="Follow-Through Recovery Status"/>
    <tableColumn id="24" name="Follow-Through Recovery Summary"/>
    <tableColumn id="25" name="Follow-Through Recovery Reason"/>
    <tableColumn id="26" name="Follow-Through Recovery Persistence Age Runs"/>
    <tableColumn id="27" name="Follow-Through Recovery Persistence Status"/>
    <tableColumn id="28" name="Follow-Through Recovery Persistence Summary"/>
    <tableColumn id="29" name="Follow-Through Recovery Persistence Reason"/>
    <tableColumn id="30" name="Follow-Through Relapse Churn Status"/>
    <tableColumn id="31" name="Follow-Through Relapse Churn Summary"/>
    <tableColumn id="32" name="Follow-Through Relapse Churn Reason"/>
    <tableColumn id="33" name="Follow-Through Recovery Freshness Age Runs"/>
    <tableColumn id="34" name="Follow-Through Recovery Freshness Status"/>
    <tableColumn id="35" name="Follow-Through Recovery Freshness Summary"/>
    <tableColumn id="36" name="Follow-Through Recovery Freshness Reason"/>
    <tableColumn id="37" name="Follow-Through Recovery Decay Status"/>
    <tableColumn id="38" name="Follow-Through Recovery Decay Summary"/>
    <tableColumn id="39" name="Follow-Through Recovery Decay Reason"/>
    <tableColumn id="40" name="Follow-Through Recovery Memory Reset Status"/>
    <tableColumn id="41" name="Follow-Through Recovery Memory Reset Summary"/>
    <tableColumn id="42" name="Follow-Through Recovery Memory Reset Reason"/>
    <tableColumn id="43" name="Follow-Through Recovery Rebuild Strength Age Runs"/>
    <tableColumn id="44" name="Follow-Through Recovery Rebuild Strength Status"/>
    <tableColumn id="45" name="Follow-Through Recovery Rebuild Strength Summary"/>
    <tableColumn id="46" name="Follow-Through Recovery Rebuild Strength Reason"/>
    <tableColumn id="47" name="Follow-Through Recovery Reacquisition Status"/>
    <tableColumn id="48" name="Follow-Through Recovery Reacquisition Summary"/>
    <tableColumn id="49" name="Follow-Through Recovery Reacquisition Reason"/>
    <tableColumn id="50" name="Follow-Through Recovery Reacquisition Durability Age Runs"/>
    <tableColumn id="51" name="Follow-Through Recovery Reacquisition Durability Status"/>
    <tableColumn id="52" name="Follow-Through Recovery Reacquisition Durability Summary"/>
    <tableColumn id="53" name="Follow-Through Recovery Reacquisition Durability Reason"/>
    <tableColumn id="54" name="Follow-Through Recovery Reacquisition Consolidation Status"/>
    <tableColumn id="55" name="Follow-Through Recovery Reacquisition Consolidation Summary"/>
    <tableColumn id="56" name="Follow-Through Recovery Reacquisition Consolidation Reason"/>
    <tableColumn id="57" name="Follow-Through Reacquisition Softening Decay Age Runs"/>
    <tableColumn id="58" name="Follow-Through Reacquisition Softening Decay Status"/>
    <tableColumn id="59" name="Follow-Through Reacquisition Softening Decay Summary"/>
    <tableColumn id="60" name="Follow-Through Reacquisition Softening Decay Reason"/>
    <tableColumn id="61" name="Follow-Through Reacquisition Confidence Retirement Status"/>
    <tableColumn id="62" name="Follow-Through Reacquisition Confidence Retirement Summary"/>
    <tableColumn id="63" name="Follow-Through Reacquisition Confidence Retirement Reason"/>
    <tableColumn id="64" name="Follow-Through Reacquisition Revalidation Recovery Age Runs"/>
    <tableColumn id="65" name="Follow-Through Reacquisition Revalidation Recovery Status"/>
    <tableColumn id="66" name="Follow-Through Reacquisition Revalidation Recovery Summary"/>
    <tableColumn id="67" name="Follow-Through Reacquisition Revalidation Recovery Reason"/>
    <tableColumn id="68" name="Catalog Line"/>
    <tableColumn id="69" name="Operating Path"/>
    <tableColumn id="70" name="Intent Alignment"/>
    <tableColumn id="71" name="Intent Alignment Reason"/>
    <tableColumn id="72" name="Scorecard Line"/>
    <tableColumn id="73" name="Maturity Gap Summary"/>
    <tableColumn id="74" name="Action Sync Stage"/>
    <tableColumn id="75" name="Action Sync Reason"/>
    <tableColumn id="76" name="Suggested Campaign"/>
    <tableColumn id="77" name="Suggested Writeback Target"/>
    <tableColumn id="78" name="Action Sync Line"/>
    <tableColumn id="79" name="Apply Packet State"/>
    <tableColumn id="80" name="Apply Packet Summary"/>
    <tableColumn id="81" name="Apply Packet Command"/>
    <tableColumn id="82" name="Post-Apply State"/>
    <tableColumn id="83" name="Post-Apply Summary"/>
    <tableColumn id="84" name="Post-Apply Line"/>
    <tableColumn id="85" name="Campaign Tuning Status"/>
    <tableColumn id="86" name="Campaign Tuning Summary"/>
    <tableColumn id="87" name="Campaign Tuning Line"/>
    <tableColumn id="88" name="Historical Intelligence Status"/>
    <tableColumn id="89" name="Historical Intelligence Summary"/>
    <tableColumn id="90" name="Historical Intelligence Line"/>
    <tableColumn id="91" name="Approval State"/>
    <tableColumn id="92" name="Approval Summary"/>
    <tableColumn id="93" name="Approval Li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OperatorRepoRollups" displayName="tblOperatorRepoRollups" ref="A1:J4" headerRowCount="1">
  <autoFilter ref="A1:J4"/>
  <tableColumns count="10">
    <tableColumn id="1" name="Repo"/>
    <tableColumn id="2" name="Total Items"/>
    <tableColumn id="3" name="Blocked"/>
    <tableColumn id="4" name="Urgent"/>
    <tableColumn id="5" name="Ready"/>
    <tableColumn id="6" name="Deferred"/>
    <tableColumn id="7" name="Primary Kind"/>
    <tableColumn id="8" name="Top Priority"/>
    <tableColumn id="9" name="Top Title"/>
    <tableColumn id="10" name="Recommended Ac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ortfolioCatalogData" displayName="tblPortfolioCatalogData" ref="A1:R4" headerRowCount="1">
  <autoFilter ref="A1:R4"/>
  <tableColumns count="18">
    <tableColumn id="1" name="Repo"/>
    <tableColumn id="2" name="Full Name"/>
    <tableColumn id="3" name="Owner"/>
    <tableColumn id="4" name="Team"/>
    <tableColumn id="5" name="Purpose"/>
    <tableColumn id="6" name="Lifecycle"/>
    <tableColumn id="7" name="Criticality"/>
    <tableColumn id="8" name="Review Cadence"/>
    <tableColumn id="9" name="Disposition"/>
    <tableColumn id="10" name="Maturity Program"/>
    <tableColumn id="11" name="Target Maturity"/>
    <tableColumn id="12" name="Operating Path"/>
    <tableColumn id="13" name="Path Override"/>
    <tableColumn id="14" name="Path Confidence"/>
    <tableColumn id="15" name="Notes"/>
    <tableColumn id="16" name="Intent Alignment"/>
    <tableColumn id="17" name="Intent Alignment Reason"/>
    <tableColumn id="18" name="Catalog Li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ortfolioHistory" displayName="tblPortfolioHistory" ref="A1:J2" headerRowCount="1">
  <autoFilter ref="A1:J2"/>
  <tableColumns count="10">
    <tableColumn id="1" name="Run Index"/>
    <tableColumn id="2" name="Date"/>
    <tableColumn id="3" name="Average Score"/>
    <tableColumn id="4" name="Repos Audited"/>
    <tableColumn id="5" name="Shipped"/>
    <tableColumn id="6" name="Functional"/>
    <tableColumn id="7" name="Security Avg"/>
    <tableColumn id="8" name="Review Emitted"/>
    <tableColumn id="9" name="Campaign Drift"/>
    <tableColumn id="10" name="Governance Drif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RepoDetailData" displayName="tblRepoDetailData" ref="A1:BR4" headerRowCount="1">
  <autoFilter ref="A1:BR4"/>
  <tableColumns count="70">
    <tableColumn id="1" name="Repo"/>
    <tableColumn id="2" name="URL"/>
    <tableColumn id="3" name="Language"/>
    <tableColumn id="4" name="Description"/>
    <tableColumn id="5" name="Overall Score"/>
    <tableColumn id="6" name="Interest Score"/>
    <tableColumn id="7" name="Grade"/>
    <tableColumn id="8" name="Tier"/>
    <tableColumn id="9" name="Badges"/>
    <tableColumn id="10" name="Flags"/>
    <tableColumn id="11" name="Collections"/>
    <tableColumn id="12" name="Security Label"/>
    <tableColumn id="13" name="Security Score"/>
    <tableColumn id="14" name="Ship Lens Summary"/>
    <tableColumn id="15" name="Momentum Lens Summary"/>
    <tableColumn id="16" name="Security Lens Summary"/>
    <tableColumn id="17" name="Portfolio Fit Summary"/>
    <tableColumn id="18" name="Trend Sparkline"/>
    <tableColumn id="19" name="Top Positive Drivers"/>
    <tableColumn id="20" name="Top Negative Drivers"/>
    <tableColumn id="21" name="Next Tier Gap Summary"/>
    <tableColumn id="22" name="Next Best Action"/>
    <tableColumn id="23" name="Next Best Action Rationale"/>
    <tableColumn id="24" name="Top Hotspot 1"/>
    <tableColumn id="25" name="Top Hotspot 2"/>
    <tableColumn id="26" name="Top Hotspot 3"/>
    <tableColumn id="27" name="Top Action 1"/>
    <tableColumn id="28" name="Top Action 2"/>
    <tableColumn id="29" name="Top Action 3"/>
    <tableColumn id="30" name="Last Movement"/>
    <tableColumn id="31" name="Recent Change Summary"/>
    <tableColumn id="32" name="Follow-Through Status"/>
    <tableColumn id="33" name="Follow-Through Summary"/>
    <tableColumn id="34" name="Checkpoint Timing"/>
    <tableColumn id="35" name="Escalation"/>
    <tableColumn id="36" name="Escalation Summary"/>
    <tableColumn id="37" name="Recovery / Retirement"/>
    <tableColumn id="38" name="Recovery / Retirement Summary"/>
    <tableColumn id="39" name="Recovery Persistence"/>
    <tableColumn id="40" name="Recovery Persistence Summary"/>
    <tableColumn id="41" name="Relapse Churn"/>
    <tableColumn id="42" name="Relapse Churn Summary"/>
    <tableColumn id="43" name="Recovery Freshness"/>
    <tableColumn id="44" name="Recovery Freshness Summary"/>
    <tableColumn id="45" name="Recovery Memory Reset"/>
    <tableColumn id="46" name="Recovery Memory Reset Summary"/>
    <tableColumn id="47" name="Recovery Rebuild Strength"/>
    <tableColumn id="48" name="Recovery Rebuild Strength Summary"/>
    <tableColumn id="49" name="Recovery Reacquisition"/>
    <tableColumn id="50" name="Recovery Reacquisition Summary"/>
    <tableColumn id="51" name="Reacquisition Durability"/>
    <tableColumn id="52" name="Reacquisition Durability Summary"/>
    <tableColumn id="53" name="Reacquisition Confidence"/>
    <tableColumn id="54" name="Reacquisition Confidence Summary"/>
    <tableColumn id="55" name="Reacquisition Softening Decay"/>
    <tableColumn id="56" name="Reacquisition Softening Decay Summary"/>
    <tableColumn id="57" name="Reacquisition Confidence Retirement"/>
    <tableColumn id="58" name="Reacquisition Confidence Retirement Summary"/>
    <tableColumn id="59" name="Revalidation Recovery"/>
    <tableColumn id="60" name="Revalidation Recovery Summary"/>
    <tableColumn id="61" name="What Would Count As Progress"/>
    <tableColumn id="62" name="Catalog"/>
    <tableColumn id="63" name="Operating Path"/>
    <tableColumn id="64" name="Intent Alignment"/>
    <tableColumn id="65" name="Scorecard"/>
    <tableColumn id="66" name="Maturity Gap"/>
    <tableColumn id="67" name="Where To Start Summary"/>
    <tableColumn id="68" name="Implementation Hotspot 1"/>
    <tableColumn id="69" name="Implementation Hotspot 2"/>
    <tableColumn id="70" name="Implementation Hotspot 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RepoDimensionRollups" displayName="tblRepoDimensionRollups" ref="A1:F7" headerRowCount="1">
  <autoFilter ref="A1:F7"/>
  <tableColumns count="6">
    <tableColumn id="1" name="Lookup Key"/>
    <tableColumn id="2" name="Repo"/>
    <tableColumn id="3" name="Rank"/>
    <tableColumn id="4" name="Dimension"/>
    <tableColumn id="5" name="Score"/>
    <tableColumn id="6" name="Summa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RepoHistoryRollups" displayName="tblRepoHistoryRollups" ref="A1:D4" headerRowCount="1">
  <autoFilter ref="A1:D4"/>
  <tableColumns count="4">
    <tableColumn id="1" name="Repo"/>
    <tableColumn id="2" name="Run Index"/>
    <tableColumn id="3" name="Score"/>
    <tableColumn id="4" name="Sparkli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Repos" displayName="tblRepos" ref="A1:Q4" headerRowCount="1">
  <autoFilter ref="A1:Q4"/>
  <tableColumns count="17">
    <tableColumn id="1" name="Repo"/>
    <tableColumn id="2" name="Full Name"/>
    <tableColumn id="3" name="Language"/>
    <tableColumn id="4" name="Private"/>
    <tableColumn id="5" name="Archived"/>
    <tableColumn id="6" name="Overall Score"/>
    <tableColumn id="7" name="Interest Score"/>
    <tableColumn id="8" name="Grade"/>
    <tableColumn id="9" name="Tier"/>
    <tableColumn id="10" name="Security Label"/>
    <tableColumn id="11" name="Collections"/>
    <tableColumn id="12" name="Ship Readiness"/>
    <tableColumn id="13" name="Maintenance Risk"/>
    <tableColumn id="14" name="Showcase Value"/>
    <tableColumn id="15" name="Security Posture"/>
    <tableColumn id="16" name="Momentum"/>
    <tableColumn id="17" name="Portfolio Fi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ReviewHistoryData" displayName="tblReviewHistoryData" ref="A1:J2" headerRowCount="1">
  <autoFilter ref="A1:J2"/>
  <tableColumns count="10">
    <tableColumn id="1" name="Review ID"/>
    <tableColumn id="2" name="Source Run"/>
    <tableColumn id="3" name="Generated"/>
    <tableColumn id="4" name="Materiality"/>
    <tableColumn id="5" name="Changes"/>
    <tableColumn id="6" name="Status"/>
    <tableColumn id="7" name="Decision State"/>
    <tableColumn id="8" name="Sync State"/>
    <tableColumn id="9" name="Safe To Defer"/>
    <tableColumn id="10" name="Emitte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ReviewTargets" displayName="tblReviewTargets" ref="A1:F2" headerRowCount="1">
  <autoFilter ref="A1:F2"/>
  <tableColumns count="6">
    <tableColumn id="1" name="Repo"/>
    <tableColumn id="2" name="Title"/>
    <tableColumn id="3" name="Severity"/>
    <tableColumn id="4" name="Next Step"/>
    <tableColumn id="5" name="Decision Hint"/>
    <tableColumn id="6" name="Safe To Defe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Rollups" displayName="tblRollups" ref="A1:G5" headerRowCount="1">
  <autoFilter ref="A1:G5"/>
  <tableColumns count="7">
    <tableColumn id="1" name="Profile"/>
    <tableColumn id="2" name="Collection"/>
    <tableColumn id="3" name="Lens"/>
    <tableColumn id="4" name="Repo Count"/>
    <tableColumn id="5" name="Average Lens Score"/>
    <tableColumn id="6" name="Top Repo"/>
    <tableColumn id="7" name="Top Profile Sco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RunChangeRepoData" displayName="tblRunChangeRepoData" ref="A1:I7" headerRowCount="1">
  <autoFilter ref="A1:I7"/>
  <tableColumns count="9">
    <tableColumn id="1" name="Section"/>
    <tableColumn id="2" name="Repo"/>
    <tableColumn id="3" name="Delta"/>
    <tableColumn id="4" name="Old Tier"/>
    <tableColumn id="5" name="New Tier"/>
    <tableColumn id="6" name="Security"/>
    <tableColumn id="7" name="Hotspots"/>
    <tableColumn id="8" name="Collections"/>
    <tableColumn id="9" name="Summary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RunChangeRollups" displayName="tblRunChangeRollups" ref="A1:C11" headerRowCount="1">
  <autoFilter ref="A1:C11"/>
  <tableColumns count="3">
    <tableColumn id="1" name="Metric"/>
    <tableColumn id="2" name="Value"/>
    <tableColumn id="3" name="Summary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Scenarios" displayName="tblScenarios" ref="A1:F3" headerRowCount="1">
  <autoFilter ref="A1:F3"/>
  <tableColumns count="6">
    <tableColumn id="1" name="Key"/>
    <tableColumn id="2" name="Title"/>
    <tableColumn id="3" name="Lens"/>
    <tableColumn id="4" name="Repo Count"/>
    <tableColumn id="5" name="Average Expected Lens Delta"/>
    <tableColumn id="6" name="Projected Tier Promotion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ScorecardsData" displayName="tblScorecardsData" ref="A1:M4" headerRowCount="1">
  <autoFilter ref="A1:M4"/>
  <tableColumns count="13">
    <tableColumn id="1" name="Repo"/>
    <tableColumn id="2" name="Full Name"/>
    <tableColumn id="3" name="Program"/>
    <tableColumn id="4" name="Program Label"/>
    <tableColumn id="5" name="Score"/>
    <tableColumn id="6" name="Maturity Level"/>
    <tableColumn id="7" name="Target Maturity"/>
    <tableColumn id="8" name="Status"/>
    <tableColumn id="9" name="Passed Rules"/>
    <tableColumn id="10" name="Applicable Rules"/>
    <tableColumn id="11" name="Failed Rule Keys"/>
    <tableColumn id="12" name="Top Gaps"/>
    <tableColumn id="13" name="Summar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SecurityData" displayName="tblSecurityData" ref="A1:H4" headerRowCount="1">
  <autoFilter ref="A1:H4"/>
  <tableColumns count="8">
    <tableColumn id="1" name="Repo"/>
    <tableColumn id="2" name="Label"/>
    <tableColumn id="3" name="Score"/>
    <tableColumn id="4" name="Secrets"/>
    <tableColumn id="5" name="Dangerous Files"/>
    <tableColumn id="6" name="SECURITY.md"/>
    <tableColumn id="7" name="Dependabot"/>
    <tableColumn id="8" name="Evidenc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SecurityAlerts" displayName="tblSecurityAlerts" ref="A1:D7" headerRowCount="1">
  <autoFilter ref="A1:D7"/>
  <tableColumns count="4">
    <tableColumn id="1" name="Repo"/>
    <tableColumn id="2" name="Alert Type"/>
    <tableColumn id="3" name="Open Count"/>
    <tableColumn id="4" name="Statu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SecurityControls" displayName="tblSecurityControls" ref="A1:E19" headerRowCount="1">
  <autoFilter ref="A1:E19"/>
  <tableColumns count="5">
    <tableColumn id="1" name="Repo"/>
    <tableColumn id="2" name="Control"/>
    <tableColumn id="3" name="Status"/>
    <tableColumn id="4" name="Source"/>
    <tableColumn id="5" name="Detail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TrendMatrix" displayName="tblTrendMatrix" ref="A1:M4" headerRowCount="1">
  <autoFilter ref="A1:M4"/>
  <tableColumns count="13">
    <tableColumn id="1" name="Repo"/>
    <tableColumn id="2" name="Run 1"/>
    <tableColumn id="3" name="Run 2"/>
    <tableColumn id="4" name="Run 3"/>
    <tableColumn id="5" name="Run 4"/>
    <tableColumn id="6" name="Run 5"/>
    <tableColumn id="7" name="Run 6"/>
    <tableColumn id="8" name="Run 7"/>
    <tableColumn id="9" name="Run 8"/>
    <tableColumn id="10" name="Run 9"/>
    <tableColumn id="11" name="Run 10"/>
    <tableColumn id="12" name="Run 11"/>
    <tableColumn id="13" name="Run 1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Writeback" displayName="tblWriteback" ref="A1:F2" headerRowCount="1">
  <autoFilter ref="A1:F2"/>
  <tableColumns count="6">
    <tableColumn id="1" name="Repo"/>
    <tableColumn id="2" name="Target"/>
    <tableColumn id="3" name="Status"/>
    <tableColumn id="4" name="URL"/>
    <tableColumn id="5" name="Before"/>
    <tableColumn id="6" name="After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Lookups" displayName="tblLookups" ref="A1:C12" headerRowCount="1">
  <autoFilter ref="A1:C12"/>
  <tableColumns count="3">
    <tableColumn id="1" name="Type"/>
    <tableColumn id="2" name="Key"/>
    <tableColumn id="3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sample-user/RepoC" TargetMode="External" Id="rId1"/><Relationship Type="http://schemas.openxmlformats.org/officeDocument/2006/relationships/hyperlink" Target="https://github.com/sample-user/RepoC/issues/1" TargetMode="External" Id="rId2"/><Relationship Type="http://schemas.openxmlformats.org/officeDocument/2006/relationships/hyperlink" Target="https://github.com/sample-user/RepoB" TargetMode="External" Id="rId3"/><Relationship Type="http://schemas.openxmlformats.org/officeDocument/2006/relationships/hyperlink" Target="https://github.com/sample-user/RepoA" TargetMode="External" Id="rId4"/><Relationship Type="http://schemas.openxmlformats.org/officeDocument/2006/relationships/hyperlink" Target="https://github.com/sample-user/RepoA" TargetMode="External" Id="rId5"/></Relationships>
</file>

<file path=xl/worksheets/_rels/sheet20.xml.rels><Relationships xmlns="http://schemas.openxmlformats.org/package/2006/relationships"><Relationship Type="http://schemas.openxmlformats.org/officeDocument/2006/relationships/hyperlink" Target="https://github.com/sample-user/RepoA" TargetMode="External" Id="rId1"/><Relationship Type="http://schemas.openxmlformats.org/officeDocument/2006/relationships/hyperlink" Target="https://github.com/sample-user/RepoB" TargetMode="External" Id="rId2"/><Relationship Type="http://schemas.openxmlformats.org/officeDocument/2006/relationships/hyperlink" Target="https://github.com/sample-user/RepoC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64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263238"/>
    <outlinePr summaryBelow="1" summaryRight="1"/>
    <pageSetUpPr/>
  </sheetPr>
  <dimension ref="A1:J37"/>
  <sheetViews>
    <sheetView showGridLines="0" zoomScale="125" zoomScaleNormal="10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0" customWidth="1" min="3" max="3"/>
    <col width="55" customWidth="1" min="4" max="4"/>
    <col width="21" customWidth="1" min="5" max="5"/>
    <col width="55" customWidth="1" min="6" max="6"/>
    <col width="8" customWidth="1" min="7" max="7"/>
  </cols>
  <sheetData>
    <row r="1">
      <c r="A1" s="1" t="inlineStr">
        <is>
          <t>GitHub Portfolio Audit: sample-user</t>
        </is>
      </c>
      <c r="J1" s="2" t="inlineStr">
        <is>
          <t>Quick Links</t>
        </is>
      </c>
    </row>
    <row r="2">
      <c r="A2" s="3" t="inlineStr">
        <is>
          <t>Last updated: 2026-04-12 | 3 repos | Grade: B</t>
        </is>
      </c>
      <c r="J2" s="4" t="inlineStr">
        <is>
          <t>Dashboard</t>
        </is>
      </c>
    </row>
    <row r="3">
      <c r="A3" s="5" t="inlineStr">
        <is>
          <t>Use this workbook in order: Dashboard for the brief, Run Changes for movement, Review Queue for action, Repo Detail for one-repo context, and Executive Summary for a shareable recap.</t>
        </is>
      </c>
      <c r="J3" s="4" t="inlineStr">
        <is>
          <t>Review Queue</t>
        </is>
      </c>
    </row>
    <row r="4">
      <c r="A4" s="6" t="inlineStr">
        <is>
          <t>Start Here</t>
        </is>
      </c>
      <c r="J4" s="4" t="inlineStr">
        <is>
          <t>Repo Detail</t>
        </is>
      </c>
    </row>
    <row r="5">
      <c r="A5" s="2" t="inlineStr">
        <is>
          <t>Workbook Mode</t>
        </is>
      </c>
      <c r="B5" t="inlineStr">
        <is>
          <t>standard</t>
        </is>
      </c>
      <c r="C5" s="2" t="inlineStr">
        <is>
          <t>Profile</t>
        </is>
      </c>
      <c r="D5" t="inlineStr">
        <is>
          <t>default</t>
        </is>
      </c>
      <c r="J5" s="4" t="inlineStr">
        <is>
          <t>Run Changes</t>
        </is>
      </c>
    </row>
    <row r="6">
      <c r="A6" s="2" t="inlineStr">
        <is>
          <t>Collection</t>
        </is>
      </c>
      <c r="B6" t="inlineStr">
        <is>
          <t>all</t>
        </is>
      </c>
      <c r="C6" s="2" t="inlineStr">
        <is>
          <t>Source Run</t>
        </is>
      </c>
      <c r="D6" t="inlineStr">
        <is>
          <t>sample-user:2026-04-12T12:00:00+00:00</t>
        </is>
      </c>
      <c r="J6" s="4" t="inlineStr">
        <is>
          <t>Executive Summary</t>
        </is>
      </c>
    </row>
    <row r="7">
      <c r="A7" s="2" t="inlineStr">
        <is>
          <t>Report Reference</t>
        </is>
      </c>
      <c r="B7" t="inlineStr"/>
      <c r="C7" s="2" t="inlineStr">
        <is>
          <t>Operator Headline</t>
        </is>
      </c>
      <c r="D7" t="inlineStr">
        <is>
          <t>RepoC still needs security follow-through before the queue will calm down.</t>
        </is>
      </c>
    </row>
    <row r="8">
      <c r="A8" s="2" t="inlineStr">
        <is>
          <t>Next Run</t>
        </is>
      </c>
      <c r="B8" t="inlineStr">
        <is>
          <t>incremental</t>
        </is>
      </c>
      <c r="C8" s="2" t="inlineStr">
        <is>
          <t>Watch Strategy</t>
        </is>
      </c>
      <c r="D8" t="inlineStr">
        <is>
          <t>adaptive</t>
        </is>
      </c>
    </row>
    <row r="9">
      <c r="A9" s="7" t="inlineStr">
        <is>
          <t>The current baseline is still compatible, so incremental watch remains safe for the next run.</t>
        </is>
      </c>
    </row>
    <row r="10">
      <c r="A10" s="7" t="inlineStr">
        <is>
          <t>What changed: RepoC drift needs review and RepoB reopened a release checklist item.</t>
        </is>
      </c>
    </row>
    <row r="11">
      <c r="A11" s="7" t="inlineStr">
        <is>
          <t>Why it matters: Live drift is still present, so security work should stay ahead of lower-pressure cleanup.</t>
        </is>
      </c>
    </row>
    <row r="12">
      <c r="A12" s="7" t="inlineStr">
        <is>
          <t>What to do next: Review RepoC first, then close RepoB's reopened checklist item.</t>
        </is>
      </c>
    </row>
    <row r="13">
      <c r="A13" s="7" t="inlineStr">
        <is>
          <t>Follow-through: One urgent item is still repeating in the recent window.</t>
        </is>
      </c>
    </row>
    <row r="14">
      <c r="A14" s="7" t="inlineStr">
        <is>
          <t>Escalation: No stronger follow-through escalation is currently surfaced.</t>
        </is>
      </c>
    </row>
    <row r="15">
      <c r="A15" s="7" t="inlineStr">
        <is>
          <t>Start with Dashboard for the portfolio brief, move to Review Queue for action, then drill into Portfolio Explorer and Executive Summary for detail.</t>
        </is>
      </c>
    </row>
    <row r="16">
      <c r="A16" s="7" t="inlineStr">
        <is>
          <t>Operating rules: standard mode is the default path, visible sheets stay filter-based, and hidden Data_* sheets remain the workbook contract. Advanced sheets are hidden by default; use Excel Unhide when you need deeper diagnostics.</t>
        </is>
      </c>
    </row>
    <row r="17">
      <c r="E17" s="6" t="inlineStr">
        <is>
          <t>Portfolio Analysis</t>
        </is>
      </c>
    </row>
    <row r="18">
      <c r="A18" s="6" t="inlineStr">
        <is>
          <t>Daily Triage</t>
        </is>
      </c>
      <c r="E18" s="8" t="inlineStr">
        <is>
          <t>Sheet</t>
        </is>
      </c>
      <c r="F18" s="8" t="inlineStr">
        <is>
          <t>Use This When</t>
        </is>
      </c>
      <c r="G18" s="8" t="inlineStr">
        <is>
          <t>Go</t>
        </is>
      </c>
    </row>
    <row r="19">
      <c r="A19" s="8" t="inlineStr">
        <is>
          <t>Sheet</t>
        </is>
      </c>
      <c r="B19" s="8" t="inlineStr">
        <is>
          <t>Use This When</t>
        </is>
      </c>
      <c r="C19" s="8" t="inlineStr">
        <is>
          <t>Go</t>
        </is>
      </c>
      <c r="E19" s="9" t="inlineStr">
        <is>
          <t>Portfolio Explorer</t>
        </is>
      </c>
      <c r="F19" s="10" t="inlineStr">
        <is>
          <t>Rank repos, compare score quality, and drill from summary into raw facts.</t>
        </is>
      </c>
      <c r="G19" s="11" t="inlineStr">
        <is>
          <t>Open</t>
        </is>
      </c>
    </row>
    <row r="20">
      <c r="A20" s="9" t="inlineStr">
        <is>
          <t>Dashboard</t>
        </is>
      </c>
      <c r="B20" s="10" t="inlineStr">
        <is>
          <t>Start here for the big-picture health view and top attention items.</t>
        </is>
      </c>
      <c r="C20" s="11" t="inlineStr">
        <is>
          <t>Open</t>
        </is>
      </c>
      <c r="E20" s="9" t="inlineStr">
        <is>
          <t>Repo Detail</t>
        </is>
      </c>
      <c r="F20" s="10" t="inlineStr">
        <is>
          <t>Select one repo and get a single-page briefing on score, risks, trend, and next action.</t>
        </is>
      </c>
      <c r="G20" s="11" t="inlineStr">
        <is>
          <t>Open</t>
        </is>
      </c>
    </row>
    <row r="21">
      <c r="A21" s="9" t="inlineStr">
        <is>
          <t>Review Queue</t>
        </is>
      </c>
      <c r="B21" s="10" t="inlineStr">
        <is>
          <t>Use this for blocked, urgent, ready, and safe-to-defer review work.</t>
        </is>
      </c>
      <c r="C21" s="11" t="inlineStr">
        <is>
          <t>Open</t>
        </is>
      </c>
      <c r="E21" s="9" t="inlineStr">
        <is>
          <t>By Lens</t>
        </is>
      </c>
      <c r="F21" s="10" t="inlineStr">
        <is>
          <t>Compare the portfolio by ship readiness, momentum, security, and fit.</t>
        </is>
      </c>
      <c r="G21" s="11" t="inlineStr">
        <is>
          <t>Open</t>
        </is>
      </c>
    </row>
    <row r="22">
      <c r="A22" s="9" t="inlineStr">
        <is>
          <t>Run Changes</t>
        </is>
      </c>
      <c r="B22" s="10" t="inlineStr">
        <is>
          <t>See what changed since the last run before you decide where to spend attention.</t>
        </is>
      </c>
      <c r="C22" s="11" t="inlineStr">
        <is>
          <t>Open</t>
        </is>
      </c>
      <c r="E22" s="9" t="inlineStr">
        <is>
          <t>By Collection</t>
        </is>
      </c>
      <c r="F22" s="10" t="inlineStr">
        <is>
          <t>Understand collection-level leaders and concentration.</t>
        </is>
      </c>
      <c r="G22" s="11" t="inlineStr">
        <is>
          <t>Open</t>
        </is>
      </c>
    </row>
    <row r="23">
      <c r="A23" s="9" t="inlineStr">
        <is>
          <t>Campaigns</t>
        </is>
      </c>
      <c r="B23" s="10" t="inlineStr">
        <is>
          <t>Check managed campaign state, reopen/closure context, and drift.</t>
        </is>
      </c>
      <c r="C23" s="11" t="inlineStr">
        <is>
          <t>Open</t>
        </is>
      </c>
      <c r="E23" s="9" t="inlineStr">
        <is>
          <t>Trend Summary</t>
        </is>
      </c>
      <c r="F23" s="10" t="inlineStr">
        <is>
          <t>See portfolio-wide movement and repo trendlines over time.</t>
        </is>
      </c>
      <c r="G23" s="11" t="inlineStr">
        <is>
          <t>Open</t>
        </is>
      </c>
    </row>
    <row r="24">
      <c r="A24" s="9" t="inlineStr">
        <is>
          <t>Governance Controls</t>
        </is>
      </c>
      <c r="B24" s="10" t="inlineStr">
        <is>
          <t>Review governed controls, approval posture, and rollback visibility.</t>
        </is>
      </c>
      <c r="C24" s="11" t="inlineStr">
        <is>
          <t>Open</t>
        </is>
      </c>
      <c r="E24" s="9" t="inlineStr">
        <is>
          <t>All Repos</t>
        </is>
      </c>
      <c r="F24" s="10" t="inlineStr">
        <is>
          <t>Scan the full inventory with grades, tiers, and supporting evidence.</t>
        </is>
      </c>
      <c r="G24" s="11" t="inlineStr">
        <is>
          <t>Open</t>
        </is>
      </c>
    </row>
    <row r="25">
      <c r="A25" s="9" t="inlineStr">
        <is>
          <t>Writeback Audit</t>
        </is>
      </c>
      <c r="B25" s="10" t="inlineStr">
        <is>
          <t>See what writeback changed and what is reversible.</t>
        </is>
      </c>
      <c r="C25" s="11" t="inlineStr">
        <is>
          <t>Open</t>
        </is>
      </c>
    </row>
    <row r="26"/>
    <row r="27">
      <c r="A27" s="6" t="inlineStr">
        <is>
          <t>Executive Readout</t>
        </is>
      </c>
      <c r="E27" s="6" t="inlineStr">
        <is>
          <t>Deep Diagnostics</t>
        </is>
      </c>
    </row>
    <row r="28">
      <c r="A28" s="8" t="inlineStr">
        <is>
          <t>Sheet</t>
        </is>
      </c>
      <c r="B28" s="8" t="inlineStr">
        <is>
          <t>Use This When</t>
        </is>
      </c>
      <c r="C28" s="8" t="inlineStr">
        <is>
          <t>Go</t>
        </is>
      </c>
      <c r="E28" s="8" t="inlineStr">
        <is>
          <t>Sheet</t>
        </is>
      </c>
      <c r="F28" s="8" t="inlineStr">
        <is>
          <t>Use This When</t>
        </is>
      </c>
      <c r="G28" s="8" t="inlineStr">
        <is>
          <t>Go</t>
        </is>
      </c>
    </row>
    <row r="29">
      <c r="A29" s="9" t="inlineStr">
        <is>
          <t>Executive Summary</t>
        </is>
      </c>
      <c r="B29" s="10" t="inlineStr">
        <is>
          <t>Readable leadership summary with what changed and what matters this week.</t>
        </is>
      </c>
      <c r="C29" s="11" t="inlineStr">
        <is>
          <t>Open</t>
        </is>
      </c>
      <c r="E29" s="9" t="inlineStr">
        <is>
          <t>Security</t>
        </is>
      </c>
      <c r="F29" s="10" t="inlineStr">
        <is>
          <t>Raw security posture, secrets, and dangerous-file findings.</t>
        </is>
      </c>
      <c r="G29" s="11" t="inlineStr">
        <is>
          <t>Open</t>
        </is>
      </c>
    </row>
    <row r="30">
      <c r="A30" s="9" t="inlineStr">
        <is>
          <t>Print Pack</t>
        </is>
      </c>
      <c r="B30" s="10" t="inlineStr">
        <is>
          <t>Print-friendly handoff with risks, opportunities, and operator counts in plain language.</t>
        </is>
      </c>
      <c r="C30" s="11" t="inlineStr">
        <is>
          <t>Open</t>
        </is>
      </c>
      <c r="E30" s="9" t="inlineStr">
        <is>
          <t>Security Controls</t>
        </is>
      </c>
      <c r="F30" s="10" t="inlineStr">
        <is>
          <t>Control coverage and rollout detail by repo.</t>
        </is>
      </c>
      <c r="G30" s="11" t="inlineStr">
        <is>
          <t>Open</t>
        </is>
      </c>
    </row>
    <row r="31">
      <c r="E31" s="9" t="inlineStr">
        <is>
          <t>Supply Chain</t>
        </is>
      </c>
      <c r="F31" s="10" t="inlineStr">
        <is>
          <t>Dependency health, scorecard signals, and provider coverage.</t>
        </is>
      </c>
      <c r="G31" s="11" t="inlineStr">
        <is>
          <t>Open</t>
        </is>
      </c>
    </row>
    <row r="32">
      <c r="E32" s="9" t="inlineStr">
        <is>
          <t>Scoring Heatmap</t>
        </is>
      </c>
      <c r="F32" s="10" t="inlineStr">
        <is>
          <t>Dimension-by-dimension matrix for detailed score inspection.</t>
        </is>
      </c>
      <c r="G32" s="11" t="inlineStr">
        <is>
          <t>Open</t>
        </is>
      </c>
    </row>
    <row r="33">
      <c r="E33" s="9" t="inlineStr">
        <is>
          <t>Hotspots</t>
        </is>
      </c>
      <c r="F33" s="10" t="inlineStr">
        <is>
          <t>Highest-severity risks and opportunities across the portfolio.</t>
        </is>
      </c>
      <c r="G33" s="11" t="inlineStr">
        <is>
          <t>Open</t>
        </is>
      </c>
    </row>
    <row r="34">
      <c r="E34" s="9" t="inlineStr">
        <is>
          <t>Review History</t>
        </is>
      </c>
      <c r="F34" s="10" t="inlineStr">
        <is>
          <t>Recurring review history and decision-state ledger.</t>
        </is>
      </c>
      <c r="G34" s="11" t="inlineStr">
        <is>
          <t>Open</t>
        </is>
      </c>
    </row>
    <row r="35">
      <c r="E35" s="9" t="inlineStr">
        <is>
          <t>Governance Audit</t>
        </is>
      </c>
      <c r="F35" s="10" t="inlineStr">
        <is>
          <t>Approval, drift, and rollback evidence summary.</t>
        </is>
      </c>
      <c r="G35" s="11" t="inlineStr">
        <is>
          <t>Open</t>
        </is>
      </c>
    </row>
    <row r="36">
      <c r="E36" s="9" t="inlineStr">
        <is>
          <t>Score Explainer</t>
        </is>
      </c>
      <c r="F36" s="10" t="inlineStr">
        <is>
          <t>How scores, grades, and tiers are computed.</t>
        </is>
      </c>
      <c r="G36" s="11" t="inlineStr">
        <is>
          <t>Open</t>
        </is>
      </c>
    </row>
    <row r="37">
      <c r="E37" s="9" t="inlineStr">
        <is>
          <t>Action Items</t>
        </is>
      </c>
      <c r="F37" s="10" t="inlineStr">
        <is>
          <t>Prioritized improvement ideas with effort context.</t>
        </is>
      </c>
      <c r="G37" s="11" t="inlineStr">
        <is>
          <t>Open</t>
        </is>
      </c>
    </row>
  </sheetData>
  <mergeCells count="11">
    <mergeCell ref="A13:G13"/>
    <mergeCell ref="A14:G14"/>
    <mergeCell ref="A1:G1"/>
    <mergeCell ref="A9:G9"/>
    <mergeCell ref="A3:G3"/>
    <mergeCell ref="A12:G12"/>
    <mergeCell ref="A2:G2"/>
    <mergeCell ref="A16:G16"/>
    <mergeCell ref="A15:G15"/>
    <mergeCell ref="A11:G11"/>
    <mergeCell ref="A10:G10"/>
  </mergeCells>
  <hyperlinks>
    <hyperlink ref="J2" location="Dashboard!A1" display="Dashboard"/>
    <hyperlink ref="J3" location="'Review Queue'!A1" display="Review Queue"/>
    <hyperlink ref="J4" location="'Repo Detail'!A1" display="Repo Detail"/>
    <hyperlink ref="J5" location="'Run Changes'!A1" display="Run Changes"/>
    <hyperlink ref="J6" location="'Executive Summary'!A1" display="Executive Summary"/>
    <hyperlink ref="E19" location="'Portfolio Explorer'!A1" display="Portfolio Explorer"/>
    <hyperlink ref="G19" location="'Portfolio Explorer'!A1" display="Open"/>
    <hyperlink ref="A20" location="Dashboard!A1" display="Dashboard"/>
    <hyperlink ref="C20" location="Dashboard!A1" display="Open"/>
    <hyperlink ref="E20" location="'Repo Detail'!A1" display="Repo Detail"/>
    <hyperlink ref="G20" location="'Repo Detail'!A1" display="Open"/>
    <hyperlink ref="A21" location="'Review Queue'!A1" display="Review Queue"/>
    <hyperlink ref="C21" location="'Review Queue'!A1" display="Open"/>
    <hyperlink ref="E21" location="'By Lens'!A1" display="By Lens"/>
    <hyperlink ref="G21" location="'By Lens'!A1" display="Open"/>
    <hyperlink ref="A22" location="'Run Changes'!A1" display="Run Changes"/>
    <hyperlink ref="C22" location="'Run Changes'!A1" display="Open"/>
    <hyperlink ref="E22" location="'By Collection'!A1" display="By Collection"/>
    <hyperlink ref="G22" location="'By Collection'!A1" display="Open"/>
    <hyperlink ref="A23" location="Campaigns!A1" display="Campaigns"/>
    <hyperlink ref="C23" location="Campaigns!A1" display="Open"/>
    <hyperlink ref="E23" location="'Trend Summary'!A1" display="Trend Summary"/>
    <hyperlink ref="G23" location="'Trend Summary'!A1" display="Open"/>
    <hyperlink ref="A24" location="'Governance Controls'!A1" display="Governance Controls"/>
    <hyperlink ref="C24" location="'Governance Controls'!A1" display="Open"/>
    <hyperlink ref="E24" location="'All Repos'!A1" display="All Repos"/>
    <hyperlink ref="G24" location="'All Repos'!A1" display="Open"/>
    <hyperlink ref="A25" location="'Writeback Audit'!A1" display="Writeback Audit"/>
    <hyperlink ref="C25" location="'Writeback Audit'!A1" display="Open"/>
    <hyperlink ref="A29" location="'Executive Summary'!A1" display="Executive Summary"/>
    <hyperlink ref="C29" location="'Executive Summary'!A1" display="Open"/>
    <hyperlink ref="E29" location="Security!A1" display="Security"/>
    <hyperlink ref="G29" location="Security!A1" display="Open"/>
    <hyperlink ref="A30" location="'Print Pack'!A1" display="Print Pack"/>
    <hyperlink ref="C30" location="'Print Pack'!A1" display="Open"/>
    <hyperlink ref="E30" location="'Security Controls'!A1" display="Security Controls"/>
    <hyperlink ref="G30" location="'Security Controls'!A1" display="Open"/>
    <hyperlink ref="E31" location="'Supply Chain'!A1" display="Supply Chain"/>
    <hyperlink ref="G31" location="'Supply Chain'!A1" display="Open"/>
    <hyperlink ref="E32" location="'Scoring Heatmap'!A1" display="Scoring Heatmap"/>
    <hyperlink ref="G32" location="'Scoring Heatmap'!A1" display="Open"/>
    <hyperlink ref="E33" location="Hotspots!A1" display="Hotspots"/>
    <hyperlink ref="G33" location="Hotspots!A1" display="Open"/>
    <hyperlink ref="E34" location="'Review History'!A1" display="Review History"/>
    <hyperlink ref="G34" location="'Review History'!A1" display="Open"/>
    <hyperlink ref="E35" location="'Governance Audit'!A1" display="Governance Audit"/>
    <hyperlink ref="G35" location="'Governance Audit'!A1" display="Open"/>
    <hyperlink ref="E36" location="'Score Explainer'!A1" display="Score Explainer"/>
    <hyperlink ref="G36" location="'Score Explainer'!A1" display="Open"/>
    <hyperlink ref="E37" location="'Action Items'!A1" display="Action Items"/>
    <hyperlink ref="G37" location="'Action Items'!A1" display="Open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AO134"/>
  <sheetViews>
    <sheetView showGridLines="0" zoomScale="120" zoomScaleNormal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4" customWidth="1" min="12" max="12"/>
    <col width="18" customWidth="1" min="15" max="15"/>
    <col width="22" customWidth="1" min="16" max="16"/>
    <col width="16" customWidth="1" min="17" max="17"/>
    <col width="24" customWidth="1" min="18" max="18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</cols>
  <sheetData>
    <row r="1">
      <c r="A1" s="1" t="inlineStr">
        <is>
          <t>GitHub Portfolio Dashboard: sample-user</t>
        </is>
      </c>
      <c r="AO1" s="2" t="inlineStr">
        <is>
          <t>Quick Links</t>
        </is>
      </c>
    </row>
    <row r="2">
      <c r="A2" s="3" t="inlineStr">
        <is>
          <t>Generated: 2026-04-12 | 3 repos audited</t>
        </is>
      </c>
      <c r="AO2" s="12" t="inlineStr">
        <is>
          <t>Dashboard</t>
        </is>
      </c>
    </row>
    <row r="3" ht="30" customHeight="1">
      <c r="A3" s="13" t="inlineStr">
        <is>
          <t>Since last audit (2026-04-05): | avg score +0.020 | 2 tier changes | Priority: RepoC needs 0.110 to promote</t>
        </is>
      </c>
      <c r="AO3" s="4" t="inlineStr">
        <is>
          <t>Review Queue</t>
        </is>
      </c>
    </row>
    <row r="4">
      <c r="A4" s="6" t="inlineStr">
        <is>
          <t>Portfolio Health Snapshot</t>
        </is>
      </c>
      <c r="O4" s="6" t="inlineStr">
        <is>
          <t>Operator Attention Snapshot</t>
        </is>
      </c>
      <c r="AO4" s="4" t="inlineStr">
        <is>
          <t>Repo Detail</t>
        </is>
      </c>
    </row>
    <row r="5" ht="20" customHeight="1">
      <c r="A5" s="14" t="inlineStr">
        <is>
          <t>Portfolio Grade</t>
        </is>
      </c>
      <c r="B5" s="15" t="n"/>
      <c r="C5" s="14" t="inlineStr">
        <is>
          <t>Avg Score</t>
        </is>
      </c>
      <c r="D5" s="15" t="n"/>
      <c r="E5" s="14" t="inlineStr">
        <is>
          <t>Shipped</t>
        </is>
      </c>
      <c r="F5" s="15" t="n"/>
      <c r="G5" s="14" t="inlineStr">
        <is>
          <t>Functional</t>
        </is>
      </c>
      <c r="H5" s="15" t="n"/>
      <c r="I5" s="14" t="inlineStr">
        <is>
          <t>WIP</t>
        </is>
      </c>
      <c r="J5" s="15" t="n"/>
      <c r="K5" s="14" t="inlineStr">
        <is>
          <t>Needs Work</t>
        </is>
      </c>
      <c r="L5" s="15" t="n"/>
      <c r="O5" s="6" t="inlineStr">
        <is>
          <t>Operator Snapshot</t>
        </is>
      </c>
      <c r="AO5" s="4" t="inlineStr">
        <is>
          <t>Run Changes</t>
        </is>
      </c>
    </row>
    <row r="6" ht="40" customHeight="1">
      <c r="A6" s="16" t="inlineStr">
        <is>
          <t>B</t>
        </is>
      </c>
      <c r="B6" s="15" t="n"/>
      <c r="C6" s="17" t="inlineStr">
        <is>
          <t>0.65</t>
        </is>
      </c>
      <c r="D6" s="15" t="n"/>
      <c r="E6" s="18" t="n">
        <v>1</v>
      </c>
      <c r="F6" s="15" t="n"/>
      <c r="G6" s="19" t="n">
        <v>1</v>
      </c>
      <c r="H6" s="15" t="n"/>
      <c r="I6" s="20" t="n">
        <v>1</v>
      </c>
      <c r="J6" s="15" t="n"/>
      <c r="K6" s="21" t="n">
        <v>0</v>
      </c>
      <c r="L6" s="15" t="n"/>
      <c r="O6" s="2" t="inlineStr">
        <is>
          <t>Setup Health</t>
        </is>
      </c>
      <c r="P6" s="10" t="inlineStr">
        <is>
          <t>Ok</t>
        </is>
      </c>
      <c r="AO6" s="4" t="inlineStr">
        <is>
          <t>Executive Summary</t>
        </is>
      </c>
    </row>
    <row r="7">
      <c r="O7" s="2" t="inlineStr">
        <is>
          <t>Operator Headline</t>
        </is>
      </c>
      <c r="P7" s="10" t="inlineStr">
        <is>
          <t>RepoC still needs security follow-through before the queue will calm down.</t>
        </is>
      </c>
    </row>
    <row r="8">
      <c r="A8" s="2" t="inlineStr">
        <is>
          <t>Portfolio DNA</t>
        </is>
      </c>
      <c r="B8" s="22" t="inlineStr"/>
      <c r="C8" s="23" t="inlineStr"/>
      <c r="D8" s="24" t="inlineStr"/>
      <c r="M8" s="2" t="inlineStr">
        <is>
          <t>Run Summary</t>
        </is>
      </c>
      <c r="N8" s="25" t="inlineStr">
        <is>
          <t>Average score moved +0.020; 0 meaningful improvements, 0 regressions, 1 promotions, and 1 demotions were recorded.</t>
        </is>
      </c>
      <c r="O8" s="2" t="inlineStr">
        <is>
          <t>Queue Counts</t>
        </is>
      </c>
      <c r="P8" s="10" t="inlineStr">
        <is>
          <t>1 blocked, 1 urgent, 1 ready, 1 deferred</t>
        </is>
      </c>
    </row>
    <row r="9">
      <c r="A9" s="7" t="inlineStr">
        <is>
          <t>Use the left side for portfolio shape and the right side for operator pressure. If you only have a minute, read the narrative, scan the queue snapshot, and then open Review Queue.</t>
        </is>
      </c>
      <c r="M9" s="2" t="inlineStr">
        <is>
          <t>Queue Pressure</t>
        </is>
      </c>
      <c r="N9" s="25" t="inlineStr">
        <is>
          <t>1 blocked, 1 urgent, 1 ready, and 1 deferred item(s) are currently in the queue.</t>
        </is>
      </c>
      <c r="O9" s="2" t="inlineStr">
        <is>
          <t>Governance</t>
        </is>
      </c>
      <c r="P9" s="10" t="inlineStr">
        <is>
          <t>Governed security drift needs review.</t>
        </is>
      </c>
    </row>
    <row r="10">
      <c r="M10" s="2" t="inlineStr">
        <is>
          <t>Trust Summary</t>
        </is>
      </c>
      <c r="N10" s="25" t="inlineStr">
        <is>
          <t>verify-first — The recommendation is sound, but recent reopen noise means it should still be reviewed before acting.</t>
        </is>
      </c>
      <c r="O10" s="2" t="inlineStr">
        <is>
          <t>Campaign State</t>
        </is>
      </c>
      <c r="P10" s="10" t="inlineStr">
        <is>
          <t>Security Review</t>
        </is>
      </c>
      <c r="X10" t="inlineStr">
        <is>
          <t>Shipped</t>
        </is>
      </c>
      <c r="Y10" t="n">
        <v>1</v>
      </c>
      <c r="AA10" t="inlineStr">
        <is>
          <t>A</t>
        </is>
      </c>
      <c r="AB10" t="n">
        <v>1</v>
      </c>
      <c r="AD10" t="inlineStr">
        <is>
          <t>Python</t>
        </is>
      </c>
      <c r="AE10" t="n">
        <v>2</v>
      </c>
      <c r="AG10" t="inlineStr">
        <is>
          <t>RepoA</t>
        </is>
      </c>
      <c r="AH10" t="n">
        <v>0.88</v>
      </c>
      <c r="AI10" t="n">
        <v>0.61</v>
      </c>
      <c r="AJ10" t="n">
        <v>0.55</v>
      </c>
      <c r="AK10" t="n">
        <v>0</v>
      </c>
      <c r="AL10" t="n">
        <v>0</v>
      </c>
      <c r="AM10" t="n">
        <v>0.45</v>
      </c>
    </row>
    <row r="11">
      <c r="M11" s="2" t="inlineStr">
        <is>
          <t>Top Recommendation</t>
        </is>
      </c>
      <c r="N11" s="25" t="inlineStr">
        <is>
          <t>Review RepoC first, then close RepoB's reopened checklist item. Start with RepoC if you need a concrete place to begin.</t>
        </is>
      </c>
      <c r="O11" s="2" t="inlineStr">
        <is>
          <t>Run Changes</t>
        </is>
      </c>
      <c r="P11" s="10" t="inlineStr">
        <is>
          <t>Average score moved +0.020; 0 meaningful improvements, 0 regressions, 1 promotions, and 1 demotions were recorded.</t>
        </is>
      </c>
      <c r="X11" t="inlineStr">
        <is>
          <t>Functional</t>
        </is>
      </c>
      <c r="Y11" t="n">
        <v>1</v>
      </c>
      <c r="AA11" t="inlineStr">
        <is>
          <t>B</t>
        </is>
      </c>
      <c r="AB11" t="n">
        <v>0</v>
      </c>
      <c r="AD11" t="inlineStr">
        <is>
          <t>TypeScript</t>
        </is>
      </c>
      <c r="AE11" t="n">
        <v>1</v>
      </c>
      <c r="AG11" t="inlineStr">
        <is>
          <t>RepoB</t>
        </is>
      </c>
      <c r="AH11" t="n">
        <v>0.62</v>
      </c>
      <c r="AI11" t="n">
        <v>0.37</v>
      </c>
      <c r="AJ11" t="n">
        <v>0.55</v>
      </c>
      <c r="AK11" t="n">
        <v>1</v>
      </c>
      <c r="AL11" t="n">
        <v>1</v>
      </c>
      <c r="AM11" t="n">
        <v>0.45</v>
      </c>
    </row>
    <row r="12">
      <c r="M12" s="2" t="inlineStr">
        <is>
          <t>Use This Page</t>
        </is>
      </c>
      <c r="N12" s="25" t="inlineStr">
        <is>
          <t>Read the left side for portfolio shape, the right side for operator pressure, then jump into Review Queue or Repo Detail.</t>
        </is>
      </c>
      <c r="O12" s="2" t="inlineStr">
        <is>
          <t>Queue Pressure</t>
        </is>
      </c>
      <c r="P12" s="10" t="inlineStr">
        <is>
          <t>1 blocked, 1 urgent, 1 ready, and 1 deferred item(s) are currently in the queue.</t>
        </is>
      </c>
      <c r="X12" t="inlineStr">
        <is>
          <t>Wip</t>
        </is>
      </c>
      <c r="Y12" t="n">
        <v>1</v>
      </c>
      <c r="AA12" t="inlineStr">
        <is>
          <t>C</t>
        </is>
      </c>
      <c r="AB12" t="n">
        <v>1</v>
      </c>
      <c r="AG12" t="inlineStr">
        <is>
          <t>RepoC</t>
        </is>
      </c>
      <c r="AH12" t="n">
        <v>0.44</v>
      </c>
      <c r="AI12" t="n">
        <v>0.16</v>
      </c>
    </row>
    <row r="13">
      <c r="O13" s="2" t="inlineStr">
        <is>
          <t>What Changed</t>
        </is>
      </c>
      <c r="P13" s="10" t="inlineStr">
        <is>
          <t>RepoC drift needs review and RepoB reopened a release checklist item.</t>
        </is>
      </c>
      <c r="X13" t="inlineStr">
        <is>
          <t>Skeleton</t>
        </is>
      </c>
      <c r="Y13" t="n">
        <v>0</v>
      </c>
      <c r="AA13" t="inlineStr">
        <is>
          <t>D</t>
        </is>
      </c>
      <c r="AB13" t="n">
        <v>1</v>
      </c>
    </row>
    <row r="14">
      <c r="O14" s="2" t="inlineStr">
        <is>
          <t>Why It Matters</t>
        </is>
      </c>
      <c r="P14" s="10" t="inlineStr">
        <is>
          <t>Live drift is still present, so security work should stay ahead of lower-pressure cleanup.</t>
        </is>
      </c>
      <c r="X14" t="inlineStr">
        <is>
          <t>Abandoned</t>
        </is>
      </c>
      <c r="Y14" t="n">
        <v>0</v>
      </c>
      <c r="AA14" t="inlineStr">
        <is>
          <t>F</t>
        </is>
      </c>
      <c r="AB14" t="n">
        <v>0</v>
      </c>
    </row>
    <row r="15">
      <c r="O15" s="2" t="inlineStr">
        <is>
          <t>Follow-Through</t>
        </is>
      </c>
      <c r="P15" s="10" t="inlineStr">
        <is>
          <t>One urgent item is still repeating in the recent window.</t>
        </is>
      </c>
    </row>
    <row r="16">
      <c r="O16" s="2" t="inlineStr">
        <is>
          <t>Next Checkpoint</t>
        </is>
      </c>
      <c r="P16" s="10" t="inlineStr">
        <is>
          <t>Use the next run or linked artifact to confirm whether the recommendation moved.</t>
        </is>
      </c>
    </row>
    <row r="17">
      <c r="O17" s="2" t="inlineStr">
        <is>
          <t>Escalation</t>
        </is>
      </c>
      <c r="P17" s="10" t="inlineStr">
        <is>
          <t>No stronger follow-through escalation is currently surfaced.</t>
        </is>
      </c>
    </row>
    <row r="18">
      <c r="O18" s="2" t="inlineStr">
        <is>
          <t>Recovery / Retirement</t>
        </is>
      </c>
      <c r="P18" s="10" t="inlineStr">
        <is>
          <t>No follow-through recovery or escalation-retirement signal is currently surfaced.</t>
        </is>
      </c>
    </row>
    <row r="19">
      <c r="O19" s="2" t="inlineStr">
        <is>
          <t>Recovery Persistence</t>
        </is>
      </c>
      <c r="P19" s="10" t="inlineStr">
        <is>
          <t>No follow-through recovery persistence signal is currently surfaced.</t>
        </is>
      </c>
    </row>
    <row r="20">
      <c r="O20" s="2" t="inlineStr">
        <is>
          <t>Relapse Churn</t>
        </is>
      </c>
      <c r="P20" s="10" t="inlineStr">
        <is>
          <t>No relapse churn is currently surfaced.</t>
        </is>
      </c>
    </row>
    <row r="21">
      <c r="O21" s="2" t="inlineStr">
        <is>
          <t>Recovery Freshness</t>
        </is>
      </c>
      <c r="P21" s="10" t="inlineStr">
        <is>
          <t>No follow-through recovery freshness signal is currently surfaced.</t>
        </is>
      </c>
    </row>
    <row r="22">
      <c r="O22" s="2" t="inlineStr">
        <is>
          <t>Recovery Memory Reset</t>
        </is>
      </c>
      <c r="P22" s="10" t="inlineStr">
        <is>
          <t>No follow-through recovery memory reset signal is currently surfaced.</t>
        </is>
      </c>
    </row>
    <row r="23">
      <c r="O23" s="2" t="inlineStr">
        <is>
          <t>Recovery Rebuild Strength</t>
        </is>
      </c>
      <c r="P23" s="10" t="inlineStr">
        <is>
          <t>No follow-through recovery rebuild-strength signal is currently surfaced.</t>
        </is>
      </c>
    </row>
    <row r="24">
      <c r="O24" s="2" t="inlineStr">
        <is>
          <t>Recovery Reacquisition</t>
        </is>
      </c>
      <c r="P24" s="10" t="inlineStr">
        <is>
          <t>No follow-through recovery reacquisition signal is currently surfaced.</t>
        </is>
      </c>
    </row>
    <row r="25">
      <c r="O25" s="2" t="inlineStr">
        <is>
          <t>Reacquisition Durability</t>
        </is>
      </c>
      <c r="P25" s="10" t="inlineStr">
        <is>
          <t>No follow-through reacquisition durability signal is currently surfaced.</t>
        </is>
      </c>
    </row>
    <row r="26">
      <c r="O26" s="2" t="inlineStr">
        <is>
          <t>Reacquisition Confidence</t>
        </is>
      </c>
      <c r="P26" s="10" t="inlineStr">
        <is>
          <t>No follow-through reacquisition confidence-consolidation signal is currently surfaced.</t>
        </is>
      </c>
    </row>
    <row r="27">
      <c r="O27" s="2" t="inlineStr">
        <is>
          <t>Operator Focus</t>
        </is>
      </c>
      <c r="P27" s="10" t="inlineStr">
        <is>
          <t>Act Now</t>
        </is>
      </c>
    </row>
    <row r="28">
      <c r="O28" s="2" t="inlineStr">
        <is>
          <t>Focus Summary</t>
        </is>
      </c>
      <c r="P28" s="10" t="inlineStr">
        <is>
          <t>2 item(s) need immediate action first, led by RepoC, RepoB.</t>
        </is>
      </c>
    </row>
    <row r="29">
      <c r="O29" s="2" t="inlineStr">
        <is>
          <t>Focus Line</t>
        </is>
      </c>
      <c r="P29" s="10" t="inlineStr">
        <is>
          <t>Act Now: Governed security drift is still unresolved.</t>
        </is>
      </c>
    </row>
    <row r="30">
      <c r="O30" s="2" t="inlineStr">
        <is>
          <t>Portfolio Catalog</t>
        </is>
      </c>
      <c r="P30" s="10" t="inlineStr">
        <is>
          <t>No portfolio catalog contract is recorded yet.</t>
        </is>
      </c>
    </row>
    <row r="31">
      <c r="A31" s="6" t="inlineStr">
        <is>
          <t>Highlights</t>
        </is>
      </c>
      <c r="O31" s="2" t="inlineStr">
        <is>
          <t>Operating Paths</t>
        </is>
      </c>
      <c r="P31" s="10" t="inlineStr">
        <is>
          <t>No normalized operating-path contract is recorded yet.</t>
        </is>
      </c>
    </row>
    <row r="32">
      <c r="O32" s="2" t="inlineStr">
        <is>
          <t>Intent Alignment</t>
        </is>
      </c>
      <c r="P32" s="10" t="inlineStr">
        <is>
          <t>Intent alignment cannot be judged until a portfolio catalog contract exists.</t>
        </is>
      </c>
    </row>
    <row r="33">
      <c r="O33" s="2" t="inlineStr">
        <is>
          <t>Scorecards</t>
        </is>
      </c>
      <c r="P33" s="10" t="inlineStr">
        <is>
          <t>No maturity scorecard is recorded yet.</t>
        </is>
      </c>
    </row>
    <row r="34">
      <c r="O34" s="2" t="inlineStr">
        <is>
          <t>Next Action</t>
        </is>
      </c>
      <c r="P34" s="10" t="inlineStr">
        <is>
          <t>Review RepoC first, then close RepoB's reopened checklist item.</t>
        </is>
      </c>
    </row>
    <row r="35">
      <c r="O35" s="2" t="inlineStr">
        <is>
          <t>Top Recommendation</t>
        </is>
      </c>
      <c r="P35" s="10" t="inlineStr">
        <is>
          <t>Review RepoC first, then close RepoB's reopened checklist item. Start with RepoC if you need a concrete place to begin.</t>
        </is>
      </c>
    </row>
    <row r="36">
      <c r="O36" s="2" t="inlineStr">
        <is>
          <t>Trend</t>
        </is>
      </c>
      <c r="P36" s="10" t="inlineStr">
        <is>
          <t>Stable — Queue pressure is stable but still sticky.</t>
        </is>
      </c>
    </row>
    <row r="37">
      <c r="O37" s="2" t="inlineStr">
        <is>
          <t>Primary Target</t>
        </is>
      </c>
      <c r="P37" s="10" t="inlineStr">
        <is>
          <t>No active target</t>
        </is>
      </c>
    </row>
    <row r="38">
      <c r="O38" s="2" t="inlineStr">
        <is>
          <t>Resolution Counts</t>
        </is>
      </c>
      <c r="P38" s="10" t="inlineStr">
        <is>
          <t>New 0 | Resolved 0 | Persisting 0</t>
        </is>
      </c>
    </row>
    <row r="39">
      <c r="O39" s="2" t="inlineStr">
        <is>
          <t>Recovery Hotspot</t>
        </is>
      </c>
      <c r="P39" s="10" t="inlineStr">
        <is>
          <t>No active recovery or retirement hotspot</t>
        </is>
      </c>
    </row>
    <row r="40">
      <c r="O40" s="2" t="inlineStr">
        <is>
          <t>Retiring Watch Hotspot</t>
        </is>
      </c>
      <c r="P40" s="10" t="inlineStr">
        <is>
          <t>No active recovery or retirement hotspot</t>
        </is>
      </c>
    </row>
    <row r="41">
      <c r="O41" s="2" t="inlineStr">
        <is>
          <t>Churn Hotspot</t>
        </is>
      </c>
      <c r="P41" s="10" t="inlineStr">
        <is>
          <t>No relapse-churn hotspot</t>
        </is>
      </c>
    </row>
    <row r="42">
      <c r="O42" s="2" t="inlineStr">
        <is>
          <t>Freshness Hotspot</t>
        </is>
      </c>
      <c r="P42" s="10" t="inlineStr">
        <is>
          <t>No stale recovery-memory hotspot</t>
        </is>
      </c>
    </row>
    <row r="43">
      <c r="O43" s="2" t="inlineStr">
        <is>
          <t>Freshness Detail</t>
        </is>
      </c>
      <c r="P43" s="10" t="inlineStr">
        <is>
          <t>No follow-through recovery freshness signal is currently surfaced.</t>
        </is>
      </c>
    </row>
    <row r="44">
      <c r="O44" s="2" t="inlineStr">
        <is>
          <t>Rebuild Hotspot</t>
        </is>
      </c>
      <c r="P44" s="10" t="inlineStr">
        <is>
          <t>No rebuilding recovery-memory hotspot</t>
        </is>
      </c>
    </row>
    <row r="45">
      <c r="O45" s="2" t="inlineStr">
        <is>
          <t>Rebuild Strength Hotspot</t>
        </is>
      </c>
      <c r="P45" s="10" t="inlineStr">
        <is>
          <t>No rebuilding-after-reset hotspot</t>
        </is>
      </c>
    </row>
    <row r="46">
      <c r="O46" s="2" t="inlineStr">
        <is>
          <t>Reacquiring Hotspot</t>
        </is>
      </c>
      <c r="P46" s="10" t="inlineStr">
        <is>
          <t>No near-reacquisition hotspot</t>
        </is>
      </c>
    </row>
    <row r="47">
      <c r="O47" s="2" t="inlineStr">
        <is>
          <t>Reacquired Hotspot</t>
        </is>
      </c>
      <c r="P47" s="10" t="inlineStr">
        <is>
          <t>No re-acquired hotspot</t>
        </is>
      </c>
    </row>
    <row r="48">
      <c r="O48" s="2" t="inlineStr">
        <is>
          <t>Fragile Reacquisition Hotspot</t>
        </is>
      </c>
      <c r="P48" s="10" t="inlineStr">
        <is>
          <t>No fragile reacquisition hotspot</t>
        </is>
      </c>
    </row>
    <row r="49">
      <c r="O49" s="2" t="inlineStr">
        <is>
          <t>Just Reacquired Hotspot</t>
        </is>
      </c>
      <c r="P49" s="10" t="inlineStr">
        <is>
          <t>No newly re-acquired hotspot</t>
        </is>
      </c>
    </row>
    <row r="50">
      <c r="O50" s="2" t="inlineStr">
        <is>
          <t>Holding Reacquired Hotspot</t>
        </is>
      </c>
      <c r="P50" s="10" t="inlineStr">
        <is>
          <t>No holding re-acquisition hotspot</t>
        </is>
      </c>
    </row>
    <row r="51">
      <c r="O51" s="2" t="inlineStr">
        <is>
          <t>Durable Reacquired Hotspot</t>
        </is>
      </c>
      <c r="P51" s="10" t="inlineStr">
        <is>
          <t>No durable re-acquisition hotspot</t>
        </is>
      </c>
    </row>
    <row r="52">
      <c r="J52" s="6" t="inlineStr">
        <is>
          <t>Scatter Quadrants</t>
        </is>
      </c>
      <c r="O52" s="2" t="inlineStr">
        <is>
          <t>Softening Reacquired Hotspot</t>
        </is>
      </c>
      <c r="P52" s="10" t="inlineStr">
        <is>
          <t>No softening re-acquisition hotspot</t>
        </is>
      </c>
    </row>
    <row r="53">
      <c r="J53" s="2" t="inlineStr">
        <is>
          <t>Quadrant</t>
        </is>
      </c>
      <c r="K53" s="2" t="inlineStr">
        <is>
          <t>Count</t>
        </is>
      </c>
      <c r="L53" s="2" t="inlineStr">
        <is>
          <t>Repos</t>
        </is>
      </c>
      <c r="O53" s="2" t="inlineStr">
        <is>
          <t>Fragile Reacquisition Confidence Hotspot</t>
        </is>
      </c>
      <c r="P53" s="10" t="inlineStr">
        <is>
          <t>No fragile re-acquisition confidence hotspot</t>
        </is>
      </c>
    </row>
    <row r="54">
      <c r="J54" s="26" t="inlineStr">
        <is>
          <t>Flagships</t>
        </is>
      </c>
      <c r="K54" t="n">
        <v>1</v>
      </c>
      <c r="L54" t="inlineStr">
        <is>
          <t>RepoA</t>
        </is>
      </c>
      <c r="O54" s="2" t="inlineStr">
        <is>
          <t>Reacquisition Softening Hotspot</t>
        </is>
      </c>
      <c r="P54" s="10" t="inlineStr">
        <is>
          <t>No reacquisition softening hotspot</t>
        </is>
      </c>
    </row>
    <row r="55">
      <c r="J55" s="26" t="inlineStr">
        <is>
          <t>Hidden Gems</t>
        </is>
      </c>
      <c r="K55" t="n">
        <v>0</v>
      </c>
      <c r="L55" t="inlineStr"/>
      <c r="O55" s="2" t="inlineStr">
        <is>
          <t>Revalidation Needed Hotspot</t>
        </is>
      </c>
      <c r="P55" s="10" t="inlineStr">
        <is>
          <t>No reacquisition revalidation hotspot</t>
        </is>
      </c>
    </row>
    <row r="56">
      <c r="J56" s="26" t="inlineStr">
        <is>
          <t>Workhorses</t>
        </is>
      </c>
      <c r="K56" t="n">
        <v>1</v>
      </c>
      <c r="L56" t="inlineStr">
        <is>
          <t>RepoB</t>
        </is>
      </c>
      <c r="O56" s="2" t="inlineStr">
        <is>
          <t>Retired Confidence Hotspot</t>
        </is>
      </c>
      <c r="P56" s="10" t="inlineStr">
        <is>
          <t>No retired re-acquisition confidence hotspot</t>
        </is>
      </c>
    </row>
    <row r="57">
      <c r="J57" s="26" t="inlineStr">
        <is>
          <t>Archive Candidates</t>
        </is>
      </c>
      <c r="K57" t="n">
        <v>1</v>
      </c>
      <c r="L57" t="inlineStr">
        <is>
          <t>RepoC</t>
        </is>
      </c>
      <c r="O57" s="2" t="inlineStr">
        <is>
          <t>Under Revalidation Hotspot</t>
        </is>
      </c>
      <c r="P57" s="10" t="inlineStr">
        <is>
          <t>No under-revalidation recovery hotspot</t>
        </is>
      </c>
    </row>
    <row r="58">
      <c r="O58" s="2" t="inlineStr">
        <is>
          <t>Rebuilding Restored Confidence Hotspot</t>
        </is>
      </c>
      <c r="P58" s="10" t="inlineStr">
        <is>
          <t>No rebuilding restored-confidence hotspot</t>
        </is>
      </c>
    </row>
    <row r="59">
      <c r="O59" s="2" t="inlineStr">
        <is>
          <t>Re-Earning Confidence Hotspot</t>
        </is>
      </c>
      <c r="P59" s="10" t="inlineStr">
        <is>
          <t>No confidence re-earning hotspot</t>
        </is>
      </c>
    </row>
    <row r="60">
      <c r="O60" s="2" t="inlineStr">
        <is>
          <t>Just Re-Earned Confidence Hotspot</t>
        </is>
      </c>
      <c r="P60" s="10" t="inlineStr">
        <is>
          <t>No just re-earned confidence hotspot</t>
        </is>
      </c>
    </row>
    <row r="61">
      <c r="O61" s="2" t="inlineStr">
        <is>
          <t>Holding Re-Earned Confidence Hotspot</t>
        </is>
      </c>
      <c r="P61" s="10" t="inlineStr">
        <is>
          <t>No holding re-earned confidence hotspot</t>
        </is>
      </c>
    </row>
    <row r="62">
      <c r="O62" s="2" t="inlineStr">
        <is>
          <t>Next Run</t>
        </is>
      </c>
      <c r="P62" s="10" t="inlineStr">
        <is>
          <t>incremental</t>
        </is>
      </c>
    </row>
    <row r="63">
      <c r="O63" s="2" t="inlineStr">
        <is>
          <t>Watch Strategy</t>
        </is>
      </c>
      <c r="P63" s="10" t="inlineStr">
        <is>
          <t>adaptive</t>
        </is>
      </c>
    </row>
    <row r="64">
      <c r="O64" s="2" t="inlineStr">
        <is>
          <t>Watch Decision</t>
        </is>
      </c>
      <c r="P64" s="10" t="inlineStr">
        <is>
          <t>The current baseline is still compatible, so incremental watch remains safe for the next run.</t>
        </is>
      </c>
    </row>
    <row r="65">
      <c r="O65" s="2" t="inlineStr">
        <is>
          <t>Source Run</t>
        </is>
      </c>
      <c r="P65" s="10" t="inlineStr">
        <is>
          <t>sample-user:2026-04-12T12:00:00+00:00</t>
        </is>
      </c>
    </row>
    <row r="66">
      <c r="O66" s="2" t="inlineStr">
        <is>
          <t>Why Top Target</t>
        </is>
      </c>
      <c r="P66" s="10" t="inlineStr">
        <is>
          <t>RepoC remains the top target because live drift is still open.</t>
        </is>
      </c>
    </row>
    <row r="67">
      <c r="O67" s="2" t="inlineStr">
        <is>
          <t>Follow-Through Hotspot</t>
        </is>
      </c>
      <c r="P67" s="10" t="inlineStr">
        <is>
          <t>No outstanding follow-through hotspot</t>
        </is>
      </c>
    </row>
    <row r="68">
      <c r="O68" s="2" t="inlineStr">
        <is>
          <t>Escalation Hotspot</t>
        </is>
      </c>
      <c r="P68" s="10" t="inlineStr">
        <is>
          <t>No outstanding follow-through hotspot</t>
        </is>
      </c>
    </row>
    <row r="69">
      <c r="O69" s="2" t="inlineStr">
        <is>
          <t>Recovery Hotspot</t>
        </is>
      </c>
      <c r="P69" s="10" t="inlineStr">
        <is>
          <t>No active recovery or retirement hotspot</t>
        </is>
      </c>
    </row>
    <row r="70">
      <c r="O70" s="2" t="inlineStr">
        <is>
          <t>Retiring Watch Hotspot</t>
        </is>
      </c>
      <c r="P70" s="10" t="inlineStr">
        <is>
          <t>No active recovery or retirement hotspot</t>
        </is>
      </c>
    </row>
    <row r="71">
      <c r="O71" s="2" t="inlineStr">
        <is>
          <t>Closure Guidance</t>
        </is>
      </c>
      <c r="P71" s="10" t="inlineStr">
        <is>
          <t>Clear RepoC's security drift before moving to lower-pressure work.</t>
        </is>
      </c>
    </row>
    <row r="72">
      <c r="O72" s="2" t="inlineStr">
        <is>
          <t>Aging Pressure</t>
        </is>
      </c>
      <c r="P72" s="10" t="inlineStr">
        <is>
          <t>Chronic 0 | Newly stale 0 | Longest No persisting item</t>
        </is>
      </c>
    </row>
    <row r="73">
      <c r="O73" s="2" t="inlineStr">
        <is>
          <t>What We Tried</t>
        </is>
      </c>
      <c r="P73" s="10" t="inlineStr">
        <is>
          <t>No recent intervention recorded</t>
        </is>
      </c>
    </row>
    <row r="74">
      <c r="O74" s="2" t="inlineStr">
        <is>
          <t>Last Outcome</t>
        </is>
      </c>
      <c r="P74" s="10" t="inlineStr">
        <is>
          <t>No Change</t>
        </is>
      </c>
    </row>
    <row r="75">
      <c r="O75" s="2" t="inlineStr">
        <is>
          <t>Resolution Evidence</t>
        </is>
      </c>
      <c r="P75" s="10" t="inlineStr">
        <is>
          <t>No resolution evidence is recorded yet.</t>
        </is>
      </c>
    </row>
    <row r="76">
      <c r="O76" s="2" t="inlineStr">
        <is>
          <t>Recovery Counts</t>
        </is>
      </c>
      <c r="P76" s="10" t="inlineStr">
        <is>
          <t>Confirmed resolved 0 | Reopened 0</t>
        </is>
      </c>
    </row>
    <row r="77">
      <c r="O77" s="2" t="inlineStr">
        <is>
          <t>Recommendation Confidence</t>
        </is>
      </c>
      <c r="P77" s="10" t="inlineStr">
        <is>
          <t>Low (0.00)</t>
        </is>
      </c>
    </row>
    <row r="78">
      <c r="O78" s="2" t="inlineStr">
        <is>
          <t>Confidence Rationale</t>
        </is>
      </c>
      <c r="P78" s="10" t="inlineStr">
        <is>
          <t>No confidence rationale is recorded yet.</t>
        </is>
      </c>
    </row>
    <row r="79">
      <c r="O79" s="2" t="inlineStr">
        <is>
          <t>Next Action Confidence</t>
        </is>
      </c>
      <c r="P79" s="10" t="inlineStr">
        <is>
          <t>Low (0.00)</t>
        </is>
      </c>
    </row>
    <row r="80">
      <c r="O80" s="2" t="inlineStr">
        <is>
          <t>Trust Policy</t>
        </is>
      </c>
      <c r="P80" s="10" t="inlineStr">
        <is>
          <t>Verify First</t>
        </is>
      </c>
    </row>
    <row r="81">
      <c r="O81" s="2" t="inlineStr">
        <is>
          <t>Trust Rationale</t>
        </is>
      </c>
      <c r="P81" s="10" t="inlineStr">
        <is>
          <t>The recommendation is sound, but recent reopen noise means it should still be reviewed before acting.</t>
        </is>
      </c>
    </row>
    <row r="82">
      <c r="O82" s="2" t="inlineStr">
        <is>
          <t>Trust Exception</t>
        </is>
      </c>
      <c r="P82" s="10" t="inlineStr">
        <is>
          <t>None — No trust-policy exception reason is recorded yet.</t>
        </is>
      </c>
    </row>
    <row r="83">
      <c r="O83" s="2" t="inlineStr">
        <is>
          <t>Trust Recovery</t>
        </is>
      </c>
      <c r="P83" s="10" t="inlineStr">
        <is>
          <t>None — No trust-recovery reason is recorded yet.</t>
        </is>
      </c>
    </row>
    <row r="84">
      <c r="O84" s="2" t="inlineStr">
        <is>
          <t>Recovery Confidence</t>
        </is>
      </c>
      <c r="P84" s="10" t="inlineStr">
        <is>
          <t>Low (0.00)</t>
        </is>
      </c>
    </row>
    <row r="85">
      <c r="O85" s="2" t="inlineStr">
        <is>
          <t>Exception Retirement</t>
        </is>
      </c>
      <c r="P85" s="10" t="inlineStr">
        <is>
          <t>None — No exception-retirement reason is recorded yet.</t>
        </is>
      </c>
    </row>
    <row r="86">
      <c r="O86" s="2" t="inlineStr">
        <is>
          <t>Retirement Summary</t>
        </is>
      </c>
      <c r="P86" s="10" t="inlineStr">
        <is>
          <t>No exception-retirement summary is recorded yet.</t>
        </is>
      </c>
    </row>
    <row r="87">
      <c r="O87" s="2" t="inlineStr">
        <is>
          <t>Policy Debt</t>
        </is>
      </c>
      <c r="P87" s="10" t="inlineStr">
        <is>
          <t>None — No policy-debt reason is recorded yet.</t>
        </is>
      </c>
    </row>
    <row r="88">
      <c r="O88" s="2" t="inlineStr">
        <is>
          <t>Class Normalization</t>
        </is>
      </c>
      <c r="P88" s="10" t="inlineStr">
        <is>
          <t>None — No class-normalization summary is recorded yet.</t>
        </is>
      </c>
    </row>
    <row r="89">
      <c r="O89" s="2" t="inlineStr">
        <is>
          <t>Class Memory</t>
        </is>
      </c>
      <c r="P89" s="10" t="inlineStr">
        <is>
          <t>Insufficient Data — No class-memory freshness reason is recorded yet.</t>
        </is>
      </c>
    </row>
    <row r="90">
      <c r="O90" s="2" t="inlineStr">
        <is>
          <t>Trust Decay</t>
        </is>
      </c>
      <c r="P90" s="10" t="inlineStr">
        <is>
          <t>None — No class-memory decay summary is recorded yet.</t>
        </is>
      </c>
    </row>
    <row r="91">
      <c r="O91" s="2" t="inlineStr">
        <is>
          <t>Class Reweighting</t>
        </is>
      </c>
      <c r="P91" s="10" t="inlineStr">
        <is>
          <t>Neutral (0.00) — No class reweighting summary is recorded yet.</t>
        </is>
      </c>
    </row>
    <row r="92">
      <c r="O92" s="2" t="inlineStr">
        <is>
          <t>Class Reweighting Why</t>
        </is>
      </c>
      <c r="P92" s="10" t="inlineStr">
        <is>
          <t>No class reweighting rationale is recorded yet.</t>
        </is>
      </c>
    </row>
    <row r="93">
      <c r="O93" s="2" t="inlineStr">
        <is>
          <t>Class Momentum</t>
        </is>
      </c>
      <c r="P93" s="10" t="inlineStr">
        <is>
          <t>Insufficient Data</t>
        </is>
      </c>
    </row>
    <row r="94">
      <c r="O94" s="2" t="inlineStr">
        <is>
          <t>Reweight Stability</t>
        </is>
      </c>
      <c r="P94" s="10" t="inlineStr">
        <is>
          <t>Watch — None: No class transition reason is recorded yet.</t>
        </is>
      </c>
    </row>
    <row r="95">
      <c r="O95" s="2" t="inlineStr">
        <is>
          <t>Transition Health</t>
        </is>
      </c>
      <c r="P95" s="10" t="inlineStr">
        <is>
          <t>None</t>
        </is>
      </c>
    </row>
    <row r="96">
      <c r="O96" s="2" t="inlineStr">
        <is>
          <t>Transition Resolution</t>
        </is>
      </c>
      <c r="P96" s="10" t="inlineStr">
        <is>
          <t>None</t>
        </is>
      </c>
    </row>
    <row r="97">
      <c r="O97" s="2" t="inlineStr">
        <is>
          <t>Transition Summary</t>
        </is>
      </c>
      <c r="P97" s="10" t="inlineStr">
        <is>
          <t>No pending transition summary is recorded yet.</t>
        </is>
      </c>
    </row>
    <row r="98">
      <c r="O98" s="2" t="inlineStr">
        <is>
          <t>Transition Closure</t>
        </is>
      </c>
      <c r="P98" s="10" t="inlineStr">
        <is>
          <t>Low</t>
        </is>
      </c>
    </row>
    <row r="99">
      <c r="O99" s="2" t="inlineStr">
        <is>
          <t>Transition Likely Outcome</t>
        </is>
      </c>
      <c r="P99" s="10" t="inlineStr">
        <is>
          <t>None</t>
        </is>
      </c>
    </row>
    <row r="100">
      <c r="O100" s="2" t="inlineStr">
        <is>
          <t>Pending Debt Freshness</t>
        </is>
      </c>
      <c r="P100" s="10" t="inlineStr">
        <is>
          <t>Insufficient Data</t>
        </is>
      </c>
    </row>
    <row r="101">
      <c r="O101" s="2" t="inlineStr">
        <is>
          <t>Closure Forecast</t>
        </is>
      </c>
      <c r="P101" s="10" t="inlineStr">
        <is>
          <t>Neutral</t>
        </is>
      </c>
    </row>
    <row r="102">
      <c r="O102" s="2" t="inlineStr">
        <is>
          <t>Reset Re-entry Rebuild Re-Entry Restore Re-Re-Re-Restore Persistence</t>
        </is>
      </c>
      <c r="P102" s="10" t="inlineStr">
        <is>
          <t>None</t>
        </is>
      </c>
    </row>
    <row r="103">
      <c r="O103" s="2" t="inlineStr">
        <is>
          <t>Reset Re-entry Rebuild Re-Entry Restore Re-Re-Re-Restore Churn Controls</t>
        </is>
      </c>
      <c r="P103" s="10" t="inlineStr">
        <is>
          <t>None</t>
        </is>
      </c>
    </row>
    <row r="104">
      <c r="O104" s="2" t="inlineStr">
        <is>
          <t>Closure Forecast Summary</t>
        </is>
      </c>
      <c r="P104" s="10" t="inlineStr">
        <is>
          <t>No closure-forecast summary is recorded yet.</t>
        </is>
      </c>
    </row>
    <row r="105">
      <c r="O105" s="2" t="inlineStr">
        <is>
          <t>Momentum Summary</t>
        </is>
      </c>
      <c r="P105" s="10" t="inlineStr">
        <is>
          <t>No class momentum summary is recorded yet.</t>
        </is>
      </c>
    </row>
    <row r="106">
      <c r="O106" s="2" t="inlineStr">
        <is>
          <t>Exception Learning</t>
        </is>
      </c>
      <c r="P106" s="10" t="inlineStr">
        <is>
          <t>None — No exception-pattern summary is recorded yet.</t>
        </is>
      </c>
    </row>
    <row r="107">
      <c r="O107" s="2" t="inlineStr">
        <is>
          <t>Recommendation Drift</t>
        </is>
      </c>
      <c r="P107" s="10" t="inlineStr">
        <is>
          <t>Stable — No recommendation-drift summary is recorded yet.</t>
        </is>
      </c>
    </row>
    <row r="108">
      <c r="O108" s="2" t="inlineStr">
        <is>
          <t>Adaptive Confidence</t>
        </is>
      </c>
      <c r="P108" s="10" t="inlineStr">
        <is>
          <t>No adaptive confidence summary is recorded yet.</t>
        </is>
      </c>
    </row>
    <row r="109">
      <c r="O109" s="2" t="inlineStr">
        <is>
          <t>Recommendation Quality</t>
        </is>
      </c>
      <c r="P109" s="10" t="inlineStr">
        <is>
          <t>No recommendation-quality summary is recorded yet.</t>
        </is>
      </c>
    </row>
    <row r="110">
      <c r="O110" s="2" t="inlineStr">
        <is>
          <t>Confidence Validation</t>
        </is>
      </c>
      <c r="P110" s="10" t="inlineStr">
        <is>
          <t>Insufficient Data — No confidence-calibration summary is recorded yet.</t>
        </is>
      </c>
    </row>
    <row r="111">
      <c r="O111" s="2" t="inlineStr">
        <is>
          <t>High-Confidence Hit Rate</t>
        </is>
      </c>
      <c r="P111" s="10" t="inlineStr">
        <is>
          <t>0%</t>
        </is>
      </c>
    </row>
    <row r="112">
      <c r="O112" s="2" t="inlineStr">
        <is>
          <t>Reopened Recommendations</t>
        </is>
      </c>
      <c r="P112" s="10" t="inlineStr">
        <is>
          <t>0 reopened</t>
        </is>
      </c>
    </row>
    <row r="114">
      <c r="O114" s="6" t="inlineStr">
        <is>
          <t>Top Attention Items</t>
        </is>
      </c>
    </row>
    <row r="115" ht="24" customHeight="1">
      <c r="O115" s="8" t="inlineStr">
        <is>
          <t>Repo</t>
        </is>
      </c>
      <c r="P115" s="8" t="inlineStr">
        <is>
          <t>Counts</t>
        </is>
      </c>
      <c r="Q115" s="8" t="inlineStr">
        <is>
          <t>Why Now</t>
        </is>
      </c>
      <c r="R115" s="8" t="inlineStr">
        <is>
          <t>Next Step</t>
        </is>
      </c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8" t="inlineStr">
        <is>
          <t>RepoC</t>
        </is>
      </c>
      <c r="P116" s="28" t="inlineStr">
        <is>
          <t>B1 / U0 / R0</t>
        </is>
      </c>
      <c r="Q116" s="28" t="inlineStr">
        <is>
          <t>Security drift needs review</t>
        </is>
      </c>
      <c r="R116" s="28" t="inlineStr">
        <is>
          <t>Open the governed control preview and decide whether to apply CodeQL.</t>
        </is>
      </c>
    </row>
    <row r="117">
      <c r="O117" s="10" t="inlineStr">
        <is>
          <t>RepoB</t>
        </is>
      </c>
      <c r="P117" s="10" t="inlineStr">
        <is>
          <t>B0 / U1 / R0</t>
        </is>
      </c>
      <c r="Q117" s="10" t="inlineStr">
        <is>
          <t>Release checklist reopened</t>
        </is>
      </c>
      <c r="R117" s="10" t="inlineStr">
        <is>
          <t>Re-run the release checklist and close the missing item.</t>
        </is>
      </c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8" t="inlineStr">
        <is>
          <t>RepoA</t>
        </is>
      </c>
      <c r="P118" s="28" t="inlineStr">
        <is>
          <t>B0 / U0 / R1</t>
        </is>
      </c>
      <c r="Q118" s="28" t="inlineStr">
        <is>
          <t>Archive old brainstorm notes</t>
        </is>
      </c>
      <c r="R118" s="28" t="inlineStr">
        <is>
          <t>Leave this alone unless priorities change.</t>
        </is>
      </c>
    </row>
    <row r="122">
      <c r="O122" s="6" t="inlineStr">
        <is>
          <t>Top Opportunities</t>
        </is>
      </c>
    </row>
    <row r="123" ht="24" customHeight="1">
      <c r="O123" s="8" t="inlineStr">
        <is>
          <t>Repo</t>
        </is>
      </c>
      <c r="P123" s="8" t="inlineStr">
        <is>
          <t>Score</t>
        </is>
      </c>
      <c r="Q123" s="8" t="inlineStr">
        <is>
          <t>Tier</t>
        </is>
      </c>
      <c r="R123" s="8" t="inlineStr">
        <is>
          <t>Best Next Move</t>
        </is>
      </c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8" t="inlineStr">
        <is>
          <t>RepoA</t>
        </is>
      </c>
      <c r="P124" s="29" t="n">
        <v>0.88</v>
      </c>
      <c r="Q124" s="28" t="inlineStr">
        <is>
          <t>shipped</t>
        </is>
      </c>
      <c r="R124" s="28" t="inlineStr">
        <is>
          <t>Publish the next maintenance release</t>
        </is>
      </c>
    </row>
    <row r="125">
      <c r="O125" s="10" t="inlineStr">
        <is>
          <t>RepoB</t>
        </is>
      </c>
      <c r="P125" s="30" t="n">
        <v>0.62</v>
      </c>
      <c r="Q125" s="10" t="inlineStr">
        <is>
          <t>functional</t>
        </is>
      </c>
      <c r="R125" s="10" t="inlineStr">
        <is>
          <t>Close the reopened release item</t>
        </is>
      </c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8" t="inlineStr">
        <is>
          <t>RepoC</t>
        </is>
      </c>
      <c r="P126" s="29" t="n">
        <v>0.44</v>
      </c>
      <c r="Q126" s="28" t="inlineStr">
        <is>
          <t>wip</t>
        </is>
      </c>
      <c r="R126" s="28" t="inlineStr">
        <is>
          <t>Preview governance controls</t>
        </is>
      </c>
    </row>
    <row r="130">
      <c r="O130" s="6" t="inlineStr">
        <is>
          <t>Top Laggards</t>
        </is>
      </c>
    </row>
    <row r="131" ht="24" customHeight="1">
      <c r="O131" s="8" t="inlineStr">
        <is>
          <t>Repo</t>
        </is>
      </c>
      <c r="P131" s="8" t="inlineStr">
        <is>
          <t>Score</t>
        </is>
      </c>
      <c r="Q131" s="8" t="inlineStr">
        <is>
          <t>Tier</t>
        </is>
      </c>
      <c r="R131" s="8" t="inlineStr">
        <is>
          <t>What Is Dragging It Down</t>
        </is>
      </c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8" t="inlineStr">
        <is>
          <t>RepoC</t>
        </is>
      </c>
      <c r="P132" s="29" t="n">
        <v>0.44</v>
      </c>
      <c r="Q132" s="28" t="inlineStr">
        <is>
          <t>wip</t>
        </is>
      </c>
      <c r="R132" s="28" t="inlineStr">
        <is>
          <t>Security posture needs attention</t>
        </is>
      </c>
    </row>
    <row r="133">
      <c r="O133" s="10" t="inlineStr">
        <is>
          <t>RepoB</t>
        </is>
      </c>
      <c r="P133" s="30" t="n">
        <v>0.62</v>
      </c>
      <c r="Q133" s="10" t="inlineStr">
        <is>
          <t>functional</t>
        </is>
      </c>
      <c r="R133" s="10" t="inlineStr">
        <is>
          <t>Finish release checklist</t>
        </is>
      </c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8" t="inlineStr">
        <is>
          <t>RepoA</t>
        </is>
      </c>
      <c r="P134" s="29" t="n">
        <v>0.88</v>
      </c>
      <c r="Q134" s="28" t="inlineStr">
        <is>
          <t>shipped</t>
        </is>
      </c>
      <c r="R134" s="28" t="inlineStr">
        <is>
          <t>Keep release notes fresh</t>
        </is>
      </c>
    </row>
  </sheetData>
  <mergeCells count="16">
    <mergeCell ref="A2:L2"/>
    <mergeCell ref="E6:F6"/>
    <mergeCell ref="C6:D6"/>
    <mergeCell ref="I6:J6"/>
    <mergeCell ref="A9:L10"/>
    <mergeCell ref="A1:L1"/>
    <mergeCell ref="C5:D5"/>
    <mergeCell ref="A5:B5"/>
    <mergeCell ref="G5:H5"/>
    <mergeCell ref="E5:F5"/>
    <mergeCell ref="K5:L5"/>
    <mergeCell ref="I5:J5"/>
    <mergeCell ref="G6:H6"/>
    <mergeCell ref="K6:L6"/>
    <mergeCell ref="A3:L3"/>
    <mergeCell ref="A6:B6"/>
  </mergeCells>
  <hyperlinks>
    <hyperlink ref="AO3" location="'Review Queue'!A1" display="Review Queue"/>
    <hyperlink ref="AO4" location="'Repo Detail'!A1" display="Repo Detail"/>
    <hyperlink ref="AO5" location="'Run Changes'!A1" display="Run Changes"/>
    <hyperlink ref="E6" location="'Tier Breakdown'!A1" display="1"/>
    <hyperlink ref="G6" location="'Tier Breakdown'!A1" display="1"/>
    <hyperlink ref="I6" location="'Quick Wins'!A1" display="1"/>
    <hyperlink ref="AO6" location="'Executive Summary'!A1" display="Executive Summary"/>
  </hyperlink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AQ72"/>
  <sheetViews>
    <sheetView showGridLines="0" zoomScale="115" zoomScaleNormal="100" workbookViewId="0">
      <pane ySplit="68" topLeftCell="A69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1" customWidth="1" min="3" max="3"/>
    <col width="14" customWidth="1" min="4" max="4"/>
    <col width="55" customWidth="1" min="5" max="5"/>
    <col width="55" customWidth="1" min="6" max="6"/>
    <col width="55" customWidth="1" min="7" max="7"/>
    <col width="49" customWidth="1" min="8" max="8"/>
    <col width="55" customWidth="1" min="9" max="9"/>
    <col width="55" customWidth="1" min="10" max="10"/>
    <col width="11" customWidth="1" min="11" max="11"/>
    <col width="43" customWidth="1" min="12" max="12"/>
    <col width="16" customWidth="1" min="13" max="13"/>
    <col width="46" customWidth="1" min="14" max="14"/>
    <col width="55" customWidth="1" min="15" max="15"/>
    <col width="20" customWidth="1" min="16" max="16"/>
    <col width="13" customWidth="1" min="17" max="17"/>
    <col width="55" customWidth="1" min="18" max="18"/>
    <col width="24" customWidth="1" min="19" max="19"/>
    <col width="55" customWidth="1" min="20" max="20"/>
    <col width="23" customWidth="1" min="21" max="21"/>
    <col width="55" customWidth="1" min="22" max="22"/>
    <col width="16" customWidth="1" min="23" max="23"/>
    <col width="42" customWidth="1" min="24" max="24"/>
    <col width="21" customWidth="1" min="25" max="25"/>
    <col width="55" customWidth="1" min="26" max="26"/>
    <col width="24" customWidth="1" min="27" max="27"/>
    <col width="55" customWidth="1" min="28" max="28"/>
    <col width="28" customWidth="1" min="29" max="29"/>
    <col width="55" customWidth="1" min="30" max="30"/>
    <col width="25" customWidth="1" min="31" max="31"/>
    <col width="55" customWidth="1" min="32" max="32"/>
    <col width="27" customWidth="1" min="33" max="33"/>
    <col width="55" customWidth="1" min="34" max="34"/>
    <col width="27" customWidth="1" min="35" max="35"/>
    <col width="55" customWidth="1" min="36" max="36"/>
    <col width="17" customWidth="1" min="37" max="37"/>
    <col width="55" customWidth="1" min="38" max="38"/>
    <col width="55" customWidth="1" min="39" max="39"/>
    <col width="36" customWidth="1" min="40" max="40"/>
    <col width="16" customWidth="1" min="41" max="41"/>
  </cols>
  <sheetData>
    <row r="1">
      <c r="A1" s="1" t="inlineStr">
        <is>
          <t>Review Queue</t>
        </is>
      </c>
      <c r="AQ1" s="2" t="inlineStr">
        <is>
          <t>Quick Links</t>
        </is>
      </c>
    </row>
    <row r="2">
      <c r="A2" s="7" t="inlineStr">
        <is>
          <t>Start with the summary strip, then use the full queue below when you need row-level facts and decision context.</t>
        </is>
      </c>
      <c r="AQ2" s="4" t="inlineStr">
        <is>
          <t>Dashboard</t>
        </is>
      </c>
    </row>
    <row r="3">
      <c r="A3" s="5" t="inlineStr">
        <is>
          <t>Work this page in lane order: clear Blocked first, handle Needs Attention Now next, and only then move into Ready for Manual Action or Safe to Defer.</t>
        </is>
      </c>
      <c r="AQ3" s="12" t="inlineStr">
        <is>
          <t>Review Queue</t>
        </is>
      </c>
    </row>
    <row r="4">
      <c r="A4" s="6" t="inlineStr">
        <is>
          <t>Summary</t>
        </is>
      </c>
      <c r="E4" s="6" t="inlineStr">
        <is>
          <t>Top 10 To Act On</t>
        </is>
      </c>
      <c r="AQ4" s="4" t="inlineStr">
        <is>
          <t>Repo Detail</t>
        </is>
      </c>
    </row>
    <row r="5" ht="24" customHeight="1">
      <c r="A5" s="2" t="inlineStr">
        <is>
          <t>Headline</t>
        </is>
      </c>
      <c r="B5" s="10" t="inlineStr">
        <is>
          <t>RepoC still needs security follow-through before the queue will calm down.</t>
        </is>
      </c>
      <c r="E5" s="8" t="inlineStr">
        <is>
          <t>Repo</t>
        </is>
      </c>
      <c r="F5" s="8" t="inlineStr">
        <is>
          <t>Primary Lane</t>
        </is>
      </c>
      <c r="G5" s="8" t="inlineStr">
        <is>
          <t>Counts</t>
        </is>
      </c>
      <c r="H5" s="8" t="inlineStr">
        <is>
          <t>Why Now</t>
        </is>
      </c>
      <c r="I5" s="8" t="inlineStr">
        <is>
          <t>Next Step</t>
        </is>
      </c>
      <c r="AQ5" s="4" t="inlineStr">
        <is>
          <t>Run Changes</t>
        </is>
      </c>
    </row>
    <row r="6">
      <c r="A6" s="31" t="inlineStr">
        <is>
          <t>Queue Counts</t>
        </is>
      </c>
      <c r="B6" s="28" t="inlineStr">
        <is>
          <t>1 blocked, 1 urgent, 1 ready, 1 deferred</t>
        </is>
      </c>
      <c r="C6" s="27" t="n"/>
      <c r="D6" s="27" t="n"/>
      <c r="E6" s="28" t="inlineStr">
        <is>
          <t>RepoC</t>
        </is>
      </c>
      <c r="F6" s="28" t="inlineStr">
        <is>
          <t>Blocked</t>
        </is>
      </c>
      <c r="G6" s="28" t="inlineStr">
        <is>
          <t>1 blocked, 0 urgent, 0 ready, 0 deferred</t>
        </is>
      </c>
      <c r="H6" s="28" t="inlineStr">
        <is>
          <t>Security drift needs review</t>
        </is>
      </c>
      <c r="I6" s="28" t="inlineStr">
        <is>
          <t>Open the governed control preview and decide whether to apply CodeQL.</t>
        </is>
      </c>
      <c r="AQ6" s="4" t="inlineStr">
        <is>
          <t>Executive Summary</t>
        </is>
      </c>
    </row>
    <row r="7">
      <c r="A7" s="2" t="inlineStr">
        <is>
          <t>Queue Pressure</t>
        </is>
      </c>
      <c r="B7" s="10" t="inlineStr">
        <is>
          <t>1 blocked, 1 urgent, 1 ready, and 1 deferred item(s) are currently in the queue.</t>
        </is>
      </c>
      <c r="E7" s="10" t="inlineStr">
        <is>
          <t>RepoB</t>
        </is>
      </c>
      <c r="F7" s="10" t="inlineStr">
        <is>
          <t>Needs Attention Now</t>
        </is>
      </c>
      <c r="G7" s="10" t="inlineStr">
        <is>
          <t>0 blocked, 1 urgent, 0 ready, 0 deferred</t>
        </is>
      </c>
      <c r="H7" s="10" t="inlineStr">
        <is>
          <t>Release checklist reopened</t>
        </is>
      </c>
      <c r="I7" s="10" t="inlineStr">
        <is>
          <t>Re-run the release checklist and close the missing item.</t>
        </is>
      </c>
    </row>
    <row r="8">
      <c r="A8" s="31" t="inlineStr">
        <is>
          <t>Total Queue Items</t>
        </is>
      </c>
      <c r="B8" s="28" t="n">
        <v>4</v>
      </c>
      <c r="C8" s="27" t="n"/>
      <c r="D8" s="27" t="n"/>
      <c r="E8" s="28" t="inlineStr">
        <is>
          <t>RepoA</t>
        </is>
      </c>
      <c r="F8" s="28" t="inlineStr">
        <is>
          <t>Ready for Manual Action</t>
        </is>
      </c>
      <c r="G8" s="28" t="inlineStr">
        <is>
          <t>0 blocked, 0 urgent, 1 ready, 1 deferred</t>
        </is>
      </c>
      <c r="H8" s="28" t="inlineStr">
        <is>
          <t>Archive old brainstorm notes</t>
        </is>
      </c>
      <c r="I8" s="28" t="inlineStr">
        <is>
          <t>Leave this alone unless priorities change.</t>
        </is>
      </c>
    </row>
    <row r="9">
      <c r="A9" s="2" t="inlineStr">
        <is>
          <t>Immediate Focus</t>
        </is>
      </c>
      <c r="B9" s="10" t="inlineStr">
        <is>
          <t>Open the governed control preview and decide whether to apply CodeQL.</t>
        </is>
      </c>
    </row>
    <row r="10">
      <c r="A10" s="2" t="inlineStr">
        <is>
          <t>Top Recommendation</t>
        </is>
      </c>
      <c r="B10" s="10" t="inlineStr">
        <is>
          <t>Review RepoC first, then close RepoB's reopened checklist item.</t>
        </is>
      </c>
    </row>
    <row r="11">
      <c r="A11" s="2" t="inlineStr">
        <is>
          <t>Top Issue Family</t>
        </is>
      </c>
      <c r="B11" s="10" t="inlineStr">
        <is>
          <t>Security Change (1)</t>
        </is>
      </c>
    </row>
    <row r="12">
      <c r="A12" s="2" t="inlineStr">
        <is>
          <t>Trend</t>
        </is>
      </c>
      <c r="B12" s="10" t="inlineStr">
        <is>
          <t>Stable — Queue pressure is stable but still sticky.</t>
        </is>
      </c>
    </row>
    <row r="13">
      <c r="A13" s="2" t="inlineStr">
        <is>
          <t>Primary Target</t>
        </is>
      </c>
      <c r="B13" s="10" t="inlineStr">
        <is>
          <t>No active target</t>
        </is>
      </c>
    </row>
    <row r="14">
      <c r="A14" s="2" t="inlineStr">
        <is>
          <t>Resolution Counts</t>
        </is>
      </c>
      <c r="B14" s="10" t="inlineStr">
        <is>
          <t>New 0 | Resolved 0 | Persisting 0</t>
        </is>
      </c>
    </row>
    <row r="15">
      <c r="A15" s="2" t="inlineStr">
        <is>
          <t>Why Top Target</t>
        </is>
      </c>
      <c r="B15" s="10" t="inlineStr">
        <is>
          <t>RepoC remains the top target because live drift is still open.</t>
        </is>
      </c>
    </row>
    <row r="16">
      <c r="A16" s="2" t="inlineStr">
        <is>
          <t>Closure Guidance</t>
        </is>
      </c>
      <c r="B16" s="10" t="inlineStr">
        <is>
          <t>Clear RepoC's security drift before moving to lower-pressure work.</t>
        </is>
      </c>
    </row>
    <row r="17">
      <c r="A17" s="2" t="inlineStr">
        <is>
          <t>Aging Pressure</t>
        </is>
      </c>
      <c r="B17" s="10" t="inlineStr">
        <is>
          <t>Chronic 0 | Newly stale 0 | Longest No persisting item</t>
        </is>
      </c>
    </row>
    <row r="18">
      <c r="A18" s="2" t="inlineStr">
        <is>
          <t>What We Tried</t>
        </is>
      </c>
      <c r="B18" s="10" t="inlineStr">
        <is>
          <t>No recent intervention recorded</t>
        </is>
      </c>
    </row>
    <row r="19">
      <c r="A19" s="2" t="inlineStr">
        <is>
          <t>Last Outcome</t>
        </is>
      </c>
      <c r="B19" s="10" t="inlineStr">
        <is>
          <t>No Change</t>
        </is>
      </c>
    </row>
    <row r="20">
      <c r="A20" s="2" t="inlineStr">
        <is>
          <t>Resolution Evidence</t>
        </is>
      </c>
      <c r="B20" s="10" t="inlineStr">
        <is>
          <t>No resolution evidence is recorded yet.</t>
        </is>
      </c>
    </row>
    <row r="21">
      <c r="A21" s="2" t="inlineStr">
        <is>
          <t>Recovery Counts</t>
        </is>
      </c>
      <c r="B21" s="10" t="inlineStr">
        <is>
          <t>Confirmed resolved 0 | Reopened 0</t>
        </is>
      </c>
    </row>
    <row r="22">
      <c r="A22" s="2" t="inlineStr">
        <is>
          <t>Recommendation Confidence</t>
        </is>
      </c>
      <c r="B22" s="10" t="inlineStr">
        <is>
          <t>Low (0.00)</t>
        </is>
      </c>
    </row>
    <row r="23">
      <c r="A23" s="2" t="inlineStr">
        <is>
          <t>Confidence Rationale</t>
        </is>
      </c>
      <c r="B23" s="10" t="inlineStr">
        <is>
          <t>No confidence rationale is recorded yet.</t>
        </is>
      </c>
    </row>
    <row r="24">
      <c r="A24" s="2" t="inlineStr">
        <is>
          <t>Next Action Confidence</t>
        </is>
      </c>
      <c r="B24" s="10" t="inlineStr">
        <is>
          <t>Low (0.00)</t>
        </is>
      </c>
    </row>
    <row r="25">
      <c r="A25" s="2" t="inlineStr">
        <is>
          <t>Trust Policy</t>
        </is>
      </c>
      <c r="B25" s="10" t="inlineStr">
        <is>
          <t>Verify First</t>
        </is>
      </c>
    </row>
    <row r="26">
      <c r="A26" s="2" t="inlineStr">
        <is>
          <t>Trust Rationale</t>
        </is>
      </c>
      <c r="B26" s="10" t="inlineStr">
        <is>
          <t>The recommendation is sound, but recent reopen noise means it should still be reviewed before acting.</t>
        </is>
      </c>
    </row>
    <row r="27">
      <c r="A27" s="2" t="inlineStr">
        <is>
          <t>Trust Exception</t>
        </is>
      </c>
      <c r="B27" s="10" t="inlineStr">
        <is>
          <t>None — No trust-policy exception reason is recorded yet.</t>
        </is>
      </c>
    </row>
    <row r="28">
      <c r="A28" s="2" t="inlineStr">
        <is>
          <t>Trust Recovery</t>
        </is>
      </c>
      <c r="B28" s="10" t="inlineStr">
        <is>
          <t>None — No trust-recovery reason is recorded yet.</t>
        </is>
      </c>
    </row>
    <row r="29">
      <c r="A29" s="2" t="inlineStr">
        <is>
          <t>Recovery Confidence</t>
        </is>
      </c>
      <c r="B29" s="10" t="inlineStr">
        <is>
          <t>Low (0.00)</t>
        </is>
      </c>
    </row>
    <row r="30">
      <c r="A30" s="2" t="inlineStr">
        <is>
          <t>Exception Retirement</t>
        </is>
      </c>
      <c r="B30" s="10" t="inlineStr">
        <is>
          <t>None — No exception-retirement reason is recorded yet.</t>
        </is>
      </c>
    </row>
    <row r="31">
      <c r="A31" s="2" t="inlineStr">
        <is>
          <t>Retirement Summary</t>
        </is>
      </c>
      <c r="B31" s="10" t="inlineStr">
        <is>
          <t>No exception-retirement summary is recorded yet.</t>
        </is>
      </c>
    </row>
    <row r="32">
      <c r="A32" s="2" t="inlineStr">
        <is>
          <t>Policy Debt</t>
        </is>
      </c>
      <c r="B32" s="10" t="inlineStr">
        <is>
          <t>None — No policy-debt reason is recorded yet.</t>
        </is>
      </c>
    </row>
    <row r="33">
      <c r="A33" s="2" t="inlineStr">
        <is>
          <t>Class Normalization</t>
        </is>
      </c>
      <c r="B33" s="10" t="inlineStr">
        <is>
          <t>None — No class-normalization summary is recorded yet.</t>
        </is>
      </c>
    </row>
    <row r="34">
      <c r="A34" s="2" t="inlineStr">
        <is>
          <t>Class Memory</t>
        </is>
      </c>
      <c r="B34" s="10" t="inlineStr">
        <is>
          <t>Insufficient Data — No class-memory freshness reason is recorded yet.</t>
        </is>
      </c>
    </row>
    <row r="35">
      <c r="A35" s="2" t="inlineStr">
        <is>
          <t>Trust Decay</t>
        </is>
      </c>
      <c r="B35" s="10" t="inlineStr">
        <is>
          <t>None — No class-memory decay summary is recorded yet.</t>
        </is>
      </c>
    </row>
    <row r="36">
      <c r="A36" s="2" t="inlineStr">
        <is>
          <t>Class Reweighting</t>
        </is>
      </c>
      <c r="B36" s="10" t="inlineStr">
        <is>
          <t>Neutral (0.00) — No class reweighting summary is recorded yet.</t>
        </is>
      </c>
    </row>
    <row r="37">
      <c r="A37" s="2" t="inlineStr">
        <is>
          <t>Class Reweighting Why</t>
        </is>
      </c>
      <c r="B37" s="10" t="inlineStr">
        <is>
          <t>No class reweighting rationale is recorded yet.</t>
        </is>
      </c>
    </row>
    <row r="38">
      <c r="A38" s="2" t="inlineStr">
        <is>
          <t>Class Momentum</t>
        </is>
      </c>
      <c r="B38" s="10" t="inlineStr">
        <is>
          <t>Insufficient Data</t>
        </is>
      </c>
    </row>
    <row r="39">
      <c r="A39" s="2" t="inlineStr">
        <is>
          <t>Reweight Stability</t>
        </is>
      </c>
      <c r="B39" s="10" t="inlineStr">
        <is>
          <t>Watch — None: No class transition reason is recorded yet.</t>
        </is>
      </c>
    </row>
    <row r="40">
      <c r="A40" s="2" t="inlineStr">
        <is>
          <t>Transition Health</t>
        </is>
      </c>
      <c r="B40" s="10" t="inlineStr">
        <is>
          <t>None</t>
        </is>
      </c>
    </row>
    <row r="41">
      <c r="A41" s="2" t="inlineStr">
        <is>
          <t>Transition Resolution</t>
        </is>
      </c>
      <c r="B41" s="10" t="inlineStr">
        <is>
          <t>None</t>
        </is>
      </c>
    </row>
    <row r="42">
      <c r="A42" s="2" t="inlineStr">
        <is>
          <t>Transition Summary</t>
        </is>
      </c>
      <c r="B42" s="10" t="inlineStr">
        <is>
          <t>No pending transition summary is recorded yet.</t>
        </is>
      </c>
    </row>
    <row r="43">
      <c r="A43" s="2" t="inlineStr">
        <is>
          <t>Transition Closure</t>
        </is>
      </c>
      <c r="B43" s="10" t="inlineStr">
        <is>
          <t>Low</t>
        </is>
      </c>
    </row>
    <row r="44">
      <c r="A44" s="2" t="inlineStr">
        <is>
          <t>Transition Likely Outcome</t>
        </is>
      </c>
      <c r="B44" s="10" t="inlineStr">
        <is>
          <t>None</t>
        </is>
      </c>
    </row>
    <row r="45">
      <c r="A45" s="2" t="inlineStr">
        <is>
          <t>Pending Debt Freshness</t>
        </is>
      </c>
      <c r="B45" s="10" t="inlineStr">
        <is>
          <t>Insufficient Data</t>
        </is>
      </c>
    </row>
    <row r="46">
      <c r="A46" s="2" t="inlineStr">
        <is>
          <t>Closure Forecast</t>
        </is>
      </c>
      <c r="B46" s="10" t="inlineStr">
        <is>
          <t>Neutral</t>
        </is>
      </c>
    </row>
    <row r="47">
      <c r="A47" s="2" t="inlineStr">
        <is>
          <t>Reset Re-entry Rebuild Re-Entry Restore Re-Re-Re-Restore Persistence</t>
        </is>
      </c>
      <c r="B47" s="10" t="inlineStr">
        <is>
          <t>None</t>
        </is>
      </c>
    </row>
    <row r="48">
      <c r="A48" s="2" t="inlineStr">
        <is>
          <t>Reset Re-entry Rebuild Re-Entry Restore Re-Re-Re-Restore Churn Controls</t>
        </is>
      </c>
      <c r="B48" s="10" t="inlineStr">
        <is>
          <t>None</t>
        </is>
      </c>
    </row>
    <row r="49">
      <c r="A49" s="2" t="inlineStr">
        <is>
          <t>Closure Forecast Summary</t>
        </is>
      </c>
      <c r="B49" s="10" t="inlineStr">
        <is>
          <t>No closure-forecast summary is recorded yet.</t>
        </is>
      </c>
    </row>
    <row r="50">
      <c r="A50" s="2" t="inlineStr">
        <is>
          <t>Momentum Summary</t>
        </is>
      </c>
      <c r="B50" s="10" t="inlineStr">
        <is>
          <t>No class momentum summary is recorded yet.</t>
        </is>
      </c>
    </row>
    <row r="51">
      <c r="A51" s="2" t="inlineStr">
        <is>
          <t>Exception Learning</t>
        </is>
      </c>
      <c r="B51" s="10" t="inlineStr">
        <is>
          <t>None — No exception-pattern summary is recorded yet.</t>
        </is>
      </c>
    </row>
    <row r="52">
      <c r="A52" s="2" t="inlineStr">
        <is>
          <t>Recommendation Drift</t>
        </is>
      </c>
      <c r="B52" s="10" t="inlineStr">
        <is>
          <t>Stable — No recommendation-drift summary is recorded yet.</t>
        </is>
      </c>
    </row>
    <row r="53">
      <c r="A53" s="2" t="inlineStr">
        <is>
          <t>Adaptive Confidence</t>
        </is>
      </c>
      <c r="B53" s="10" t="inlineStr">
        <is>
          <t>No adaptive confidence summary is recorded yet.</t>
        </is>
      </c>
    </row>
    <row r="54">
      <c r="A54" s="2" t="inlineStr">
        <is>
          <t>Recommendation Quality</t>
        </is>
      </c>
      <c r="B54" s="10" t="inlineStr">
        <is>
          <t>No recommendation-quality summary is recorded yet.</t>
        </is>
      </c>
    </row>
    <row r="55">
      <c r="A55" s="2" t="inlineStr">
        <is>
          <t>Confidence Validation</t>
        </is>
      </c>
      <c r="B55" s="10" t="inlineStr">
        <is>
          <t>Insufficient Data — No confidence-calibration summary is recorded yet.</t>
        </is>
      </c>
    </row>
    <row r="56">
      <c r="A56" s="2" t="inlineStr">
        <is>
          <t>High-Confidence Hit Rate</t>
        </is>
      </c>
      <c r="B56" s="10" t="inlineStr">
        <is>
          <t>0%</t>
        </is>
      </c>
    </row>
    <row r="57">
      <c r="A57" s="2" t="inlineStr">
        <is>
          <t>Reopened Recommendations</t>
        </is>
      </c>
      <c r="B57" s="10" t="inlineStr">
        <is>
          <t>0 reopened</t>
        </is>
      </c>
    </row>
    <row r="58">
      <c r="A58" s="2" t="inlineStr">
        <is>
          <t>Source Run</t>
        </is>
      </c>
      <c r="B58" s="10" t="inlineStr">
        <is>
          <t>sample-user:2026-04-12T12:00:00+00:00</t>
        </is>
      </c>
    </row>
    <row r="59"/>
    <row r="60">
      <c r="A60" s="6" t="inlineStr">
        <is>
          <t>Top Issue Families</t>
        </is>
      </c>
      <c r="E60" s="6" t="inlineStr">
        <is>
          <t>Top Recommended Actions</t>
        </is>
      </c>
    </row>
    <row r="61" ht="24" customHeight="1">
      <c r="A61" s="8" t="inlineStr">
        <is>
          <t>Issue Family</t>
        </is>
      </c>
      <c r="B61" s="8" t="inlineStr">
        <is>
          <t>Count</t>
        </is>
      </c>
      <c r="E61" s="8" t="inlineStr">
        <is>
          <t>Action</t>
        </is>
      </c>
      <c r="F61" s="8" t="inlineStr">
        <is>
          <t>Count</t>
        </is>
      </c>
    </row>
    <row r="62">
      <c r="A62" s="28" t="inlineStr">
        <is>
          <t>Security Change</t>
        </is>
      </c>
      <c r="B62" s="29" t="n">
        <v>1</v>
      </c>
      <c r="C62" s="27" t="n"/>
      <c r="D62" s="27" t="n"/>
      <c r="E62" s="28" t="inlineStr">
        <is>
          <t>Open the governed control preview and decide whether to apply CodeQL.</t>
        </is>
      </c>
      <c r="F62" s="29" t="n">
        <v>1</v>
      </c>
    </row>
    <row r="63">
      <c r="A63" s="10" t="inlineStr">
        <is>
          <t>Reopened Review</t>
        </is>
      </c>
      <c r="B63" s="30" t="n">
        <v>1</v>
      </c>
      <c r="E63" s="10" t="inlineStr">
        <is>
          <t>Re-run the release checklist and close the missing item.</t>
        </is>
      </c>
      <c r="F63" s="30" t="n">
        <v>1</v>
      </c>
    </row>
    <row r="64">
      <c r="A64" s="27" t="n"/>
      <c r="B64" s="27" t="n"/>
      <c r="C64" s="27" t="n"/>
      <c r="D64" s="27" t="n"/>
      <c r="E64" s="28" t="inlineStr">
        <is>
          <t>Tidy the release notes and publish the next small maintenance release.</t>
        </is>
      </c>
      <c r="F64" s="29" t="n">
        <v>1</v>
      </c>
    </row>
    <row r="65">
      <c r="E65" s="10" t="inlineStr">
        <is>
          <t>Leave this alone unless priorities change.</t>
        </is>
      </c>
      <c r="F65" s="30" t="n">
        <v>1</v>
      </c>
    </row>
    <row r="66"/>
    <row r="67">
      <c r="A67" s="7" t="inlineStr">
        <is>
          <t>Read this table top-down: urgent items first, ready items second, and safe-to-defer rows last.</t>
        </is>
      </c>
    </row>
    <row r="68" ht="30" customHeight="1">
      <c r="A68" s="32" t="inlineStr">
        <is>
          <t>Repo</t>
        </is>
      </c>
      <c r="B68" s="32" t="inlineStr">
        <is>
          <t>Title</t>
        </is>
      </c>
      <c r="C68" s="32" t="inlineStr">
        <is>
          <t>Lane</t>
        </is>
      </c>
      <c r="D68" s="32" t="inlineStr">
        <is>
          <t>Kind</t>
        </is>
      </c>
      <c r="E68" s="32" t="inlineStr">
        <is>
          <t>Priority</t>
        </is>
      </c>
      <c r="F68" s="32" t="inlineStr">
        <is>
          <t>Why This Is Here</t>
        </is>
      </c>
      <c r="G68" s="32" t="inlineStr">
        <is>
          <t>What To Do Next</t>
        </is>
      </c>
      <c r="H68" s="32" t="inlineStr">
        <is>
          <t>Catalog</t>
        </is>
      </c>
      <c r="I68" s="32" t="inlineStr">
        <is>
          <t>Operating Path</t>
        </is>
      </c>
      <c r="J68" s="32" t="inlineStr">
        <is>
          <t>Intent Alignment</t>
        </is>
      </c>
      <c r="K68" s="32" t="inlineStr">
        <is>
          <t>Maturity</t>
        </is>
      </c>
      <c r="L68" s="32" t="inlineStr">
        <is>
          <t>Scorecard Gap</t>
        </is>
      </c>
      <c r="M68" s="32" t="inlineStr">
        <is>
          <t>Last Movement</t>
        </is>
      </c>
      <c r="N68" s="32" t="inlineStr">
        <is>
          <t>Follow-Through</t>
        </is>
      </c>
      <c r="O68" s="32" t="inlineStr">
        <is>
          <t>Next Checkpoint</t>
        </is>
      </c>
      <c r="P68" s="32" t="inlineStr">
        <is>
          <t>Checkpoint Timing</t>
        </is>
      </c>
      <c r="Q68" s="32" t="inlineStr">
        <is>
          <t>Escalation</t>
        </is>
      </c>
      <c r="R68" s="32" t="inlineStr">
        <is>
          <t>Escalation Summary</t>
        </is>
      </c>
      <c r="S68" s="32" t="inlineStr">
        <is>
          <t>Recovery / Retirement</t>
        </is>
      </c>
      <c r="T68" s="32" t="inlineStr">
        <is>
          <t>Recovery Summary</t>
        </is>
      </c>
      <c r="U68" s="32" t="inlineStr">
        <is>
          <t>Recovery Persistence</t>
        </is>
      </c>
      <c r="V68" s="32" t="inlineStr">
        <is>
          <t>Persistence Summary</t>
        </is>
      </c>
      <c r="W68" s="32" t="inlineStr">
        <is>
          <t>Relapse Churn</t>
        </is>
      </c>
      <c r="X68" s="32" t="inlineStr">
        <is>
          <t>Churn Summary</t>
        </is>
      </c>
      <c r="Y68" s="32" t="inlineStr">
        <is>
          <t>Recovery Freshness</t>
        </is>
      </c>
      <c r="Z68" s="32" t="inlineStr">
        <is>
          <t>Freshness Summary</t>
        </is>
      </c>
      <c r="AA68" s="32" t="inlineStr">
        <is>
          <t>Recovery Memory Reset</t>
        </is>
      </c>
      <c r="AB68" s="32" t="inlineStr">
        <is>
          <t>Reset Summary</t>
        </is>
      </c>
      <c r="AC68" s="32" t="inlineStr">
        <is>
          <t>Recovery Rebuild Strength</t>
        </is>
      </c>
      <c r="AD68" s="32" t="inlineStr">
        <is>
          <t>Rebuild Summary</t>
        </is>
      </c>
      <c r="AE68" s="32" t="inlineStr">
        <is>
          <t>Recovery Reacquisition</t>
        </is>
      </c>
      <c r="AF68" s="32" t="inlineStr">
        <is>
          <t>Reacquisition Summary</t>
        </is>
      </c>
      <c r="AG68" s="32" t="inlineStr">
        <is>
          <t>Reacquisition Durability</t>
        </is>
      </c>
      <c r="AH68" s="32" t="inlineStr">
        <is>
          <t>Durability Summary</t>
        </is>
      </c>
      <c r="AI68" s="32" t="inlineStr">
        <is>
          <t>Reacquisition Confidence</t>
        </is>
      </c>
      <c r="AJ68" s="32" t="inlineStr">
        <is>
          <t>Confidence Summary</t>
        </is>
      </c>
      <c r="AK68" s="32" t="inlineStr">
        <is>
          <t>Operator Focus</t>
        </is>
      </c>
      <c r="AL68" s="32" t="inlineStr">
        <is>
          <t>Focus Summary</t>
        </is>
      </c>
      <c r="AM68" s="32" t="inlineStr">
        <is>
          <t>Focus Line</t>
        </is>
      </c>
      <c r="AN68" s="32" t="inlineStr">
        <is>
          <t>Open Artifact</t>
        </is>
      </c>
      <c r="AO68" s="32" t="inlineStr">
        <is>
          <t>Safe To Defer</t>
        </is>
      </c>
    </row>
    <row r="69">
      <c r="A69" s="33" t="inlineStr">
        <is>
          <t>RepoC</t>
        </is>
      </c>
      <c r="B69" s="34" t="inlineStr">
        <is>
          <t>Security drift needs review</t>
        </is>
      </c>
      <c r="C69" s="35" t="inlineStr">
        <is>
          <t>blocked</t>
        </is>
      </c>
      <c r="D69" s="35" t="inlineStr">
        <is>
          <t>campaign</t>
        </is>
      </c>
      <c r="E69" s="35" t="n">
        <v>1</v>
      </c>
      <c r="F69" s="34" t="inlineStr">
        <is>
          <t>Governed security drift is still unresolved.</t>
        </is>
      </c>
      <c r="G69" s="34" t="inlineStr">
        <is>
          <t>Open the governed control preview and decide whether to apply CodeQL.</t>
        </is>
      </c>
      <c r="H69" s="34" t="inlineStr">
        <is>
          <t>No portfolio catalog contract is recorded yet.</t>
        </is>
      </c>
      <c r="I69" s="34" t="inlineStr">
        <is>
          <t>Operating Path: Unspecified (legacy confidence) — No operating-path rationale is recorded yet.</t>
        </is>
      </c>
      <c r="J69" s="34" t="inlineStr">
        <is>
          <t>missing-contract — Intent alignment cannot be judged until a portfolio catalog contract exists.</t>
        </is>
      </c>
      <c r="K69" s="35" t="inlineStr">
        <is>
          <t>—</t>
        </is>
      </c>
      <c r="L69" s="34" t="inlineStr">
        <is>
          <t>No maturity gap summary is recorded yet.</t>
        </is>
      </c>
      <c r="M69" s="34" t="inlineStr">
        <is>
          <t>Current run</t>
        </is>
      </c>
      <c r="N69" s="34" t="inlineStr">
        <is>
          <t>No follow-through evidence is recorded yet.</t>
        </is>
      </c>
      <c r="O69" s="34" t="inlineStr">
        <is>
          <t>Use the next run or linked artifact to confirm whether the recommendation moved.</t>
        </is>
      </c>
      <c r="P69" s="35" t="inlineStr">
        <is>
          <t>Unknown</t>
        </is>
      </c>
      <c r="Q69" s="35" t="inlineStr">
        <is>
          <t>Unknown</t>
        </is>
      </c>
      <c r="R69" s="34" t="inlineStr">
        <is>
          <t>No stronger follow-through escalation is currently surfaced.</t>
        </is>
      </c>
      <c r="S69" s="35" t="inlineStr">
        <is>
          <t>None</t>
        </is>
      </c>
      <c r="T69" s="34" t="inlineStr">
        <is>
          <t>No follow-through recovery or escalation-retirement signal is currently surfaced.</t>
        </is>
      </c>
      <c r="U69" s="35" t="inlineStr">
        <is>
          <t>None</t>
        </is>
      </c>
      <c r="V69" s="34" t="inlineStr">
        <is>
          <t>No follow-through recovery persistence signal is currently surfaced.</t>
        </is>
      </c>
      <c r="W69" s="35" t="inlineStr">
        <is>
          <t>None</t>
        </is>
      </c>
      <c r="X69" s="34" t="inlineStr">
        <is>
          <t>No relapse churn is currently surfaced.</t>
        </is>
      </c>
      <c r="Y69" s="35" t="inlineStr">
        <is>
          <t>None</t>
        </is>
      </c>
      <c r="Z69" s="34" t="inlineStr">
        <is>
          <t>No follow-through recovery freshness signal is currently surfaced.</t>
        </is>
      </c>
      <c r="AA69" s="35" t="inlineStr">
        <is>
          <t>None</t>
        </is>
      </c>
      <c r="AB69" s="34" t="inlineStr">
        <is>
          <t>No follow-through recovery memory reset signal is currently surfaced.</t>
        </is>
      </c>
      <c r="AC69" s="35" t="inlineStr">
        <is>
          <t>None</t>
        </is>
      </c>
      <c r="AD69" s="34" t="inlineStr">
        <is>
          <t>No follow-through recovery rebuild-strength signal is currently surfaced.</t>
        </is>
      </c>
      <c r="AE69" s="35" t="inlineStr">
        <is>
          <t>None</t>
        </is>
      </c>
      <c r="AF69" s="34" t="inlineStr">
        <is>
          <t>No follow-through recovery reacquisition signal is currently surfaced.</t>
        </is>
      </c>
      <c r="AG69" s="35" t="inlineStr">
        <is>
          <t>None</t>
        </is>
      </c>
      <c r="AH69" s="34" t="inlineStr">
        <is>
          <t>No follow-through reacquisition durability signal is currently surfaced.</t>
        </is>
      </c>
      <c r="AI69" s="35" t="inlineStr">
        <is>
          <t>None</t>
        </is>
      </c>
      <c r="AJ69" s="34" t="inlineStr">
        <is>
          <t>No follow-through reacquisition confidence-consolidation signal is currently surfaced.</t>
        </is>
      </c>
      <c r="AK69" s="35" t="inlineStr">
        <is>
          <t>Act Now</t>
        </is>
      </c>
      <c r="AL69" s="34" t="inlineStr">
        <is>
          <t>Governed security drift is still unresolved.</t>
        </is>
      </c>
      <c r="AM69" s="34" t="inlineStr">
        <is>
          <t>Act Now: Governed security drift is still unresolved.</t>
        </is>
      </c>
      <c r="AN69" s="33" t="inlineStr">
        <is>
          <t>Open linked artifact</t>
        </is>
      </c>
      <c r="AO69" s="35" t="inlineStr">
        <is>
          <t>no</t>
        </is>
      </c>
    </row>
    <row r="70">
      <c r="A70" s="36" t="inlineStr">
        <is>
          <t>RepoB</t>
        </is>
      </c>
      <c r="B70" s="37" t="inlineStr">
        <is>
          <t>Release checklist reopened</t>
        </is>
      </c>
      <c r="C70" s="38" t="inlineStr">
        <is>
          <t>urgent</t>
        </is>
      </c>
      <c r="D70" s="38" t="inlineStr">
        <is>
          <t>review</t>
        </is>
      </c>
      <c r="E70" s="38" t="n">
        <v>2</v>
      </c>
      <c r="F70" s="37" t="inlineStr">
        <is>
          <t>A previously quiet repo reopened a visible checklist item.</t>
        </is>
      </c>
      <c r="G70" s="37" t="inlineStr">
        <is>
          <t>Re-run the release checklist and close the missing item.</t>
        </is>
      </c>
      <c r="H70" s="37" t="inlineStr">
        <is>
          <t>No portfolio catalog contract is recorded yet.</t>
        </is>
      </c>
      <c r="I70" s="37" t="inlineStr">
        <is>
          <t>Operating Path: Unspecified (legacy confidence) — No operating-path rationale is recorded yet.</t>
        </is>
      </c>
      <c r="J70" s="37" t="inlineStr">
        <is>
          <t>missing-contract — Intent alignment cannot be judged until a portfolio catalog contract exists.</t>
        </is>
      </c>
      <c r="K70" s="38" t="inlineStr">
        <is>
          <t>—</t>
        </is>
      </c>
      <c r="L70" s="37" t="inlineStr">
        <is>
          <t>No maturity gap summary is recorded yet.</t>
        </is>
      </c>
      <c r="M70" s="37" t="inlineStr">
        <is>
          <t>Current run</t>
        </is>
      </c>
      <c r="N70" s="37" t="inlineStr">
        <is>
          <t>No follow-through evidence is recorded yet.</t>
        </is>
      </c>
      <c r="O70" s="37" t="inlineStr">
        <is>
          <t>Use the next run or linked artifact to confirm whether the recommendation moved.</t>
        </is>
      </c>
      <c r="P70" s="38" t="inlineStr">
        <is>
          <t>Unknown</t>
        </is>
      </c>
      <c r="Q70" s="38" t="inlineStr">
        <is>
          <t>Unknown</t>
        </is>
      </c>
      <c r="R70" s="37" t="inlineStr">
        <is>
          <t>No stronger follow-through escalation is currently surfaced.</t>
        </is>
      </c>
      <c r="S70" s="38" t="inlineStr">
        <is>
          <t>None</t>
        </is>
      </c>
      <c r="T70" s="37" t="inlineStr">
        <is>
          <t>No follow-through recovery or escalation-retirement signal is currently surfaced.</t>
        </is>
      </c>
      <c r="U70" s="38" t="inlineStr">
        <is>
          <t>None</t>
        </is>
      </c>
      <c r="V70" s="37" t="inlineStr">
        <is>
          <t>No follow-through recovery persistence signal is currently surfaced.</t>
        </is>
      </c>
      <c r="W70" s="38" t="inlineStr">
        <is>
          <t>None</t>
        </is>
      </c>
      <c r="X70" s="37" t="inlineStr">
        <is>
          <t>No relapse churn is currently surfaced.</t>
        </is>
      </c>
      <c r="Y70" s="38" t="inlineStr">
        <is>
          <t>None</t>
        </is>
      </c>
      <c r="Z70" s="37" t="inlineStr">
        <is>
          <t>No follow-through recovery freshness signal is currently surfaced.</t>
        </is>
      </c>
      <c r="AA70" s="38" t="inlineStr">
        <is>
          <t>None</t>
        </is>
      </c>
      <c r="AB70" s="37" t="inlineStr">
        <is>
          <t>No follow-through recovery memory reset signal is currently surfaced.</t>
        </is>
      </c>
      <c r="AC70" s="38" t="inlineStr">
        <is>
          <t>None</t>
        </is>
      </c>
      <c r="AD70" s="37" t="inlineStr">
        <is>
          <t>No follow-through recovery rebuild-strength signal is currently surfaced.</t>
        </is>
      </c>
      <c r="AE70" s="38" t="inlineStr">
        <is>
          <t>None</t>
        </is>
      </c>
      <c r="AF70" s="37" t="inlineStr">
        <is>
          <t>No follow-through recovery reacquisition signal is currently surfaced.</t>
        </is>
      </c>
      <c r="AG70" s="38" t="inlineStr">
        <is>
          <t>None</t>
        </is>
      </c>
      <c r="AH70" s="37" t="inlineStr">
        <is>
          <t>No follow-through reacquisition durability signal is currently surfaced.</t>
        </is>
      </c>
      <c r="AI70" s="38" t="inlineStr">
        <is>
          <t>None</t>
        </is>
      </c>
      <c r="AJ70" s="37" t="inlineStr">
        <is>
          <t>No follow-through reacquisition confidence-consolidation signal is currently surfaced.</t>
        </is>
      </c>
      <c r="AK70" s="38" t="inlineStr">
        <is>
          <t>Act Now</t>
        </is>
      </c>
      <c r="AL70" s="37" t="inlineStr">
        <is>
          <t>A previously quiet repo reopened a visible checklist item.</t>
        </is>
      </c>
      <c r="AM70" s="37" t="inlineStr">
        <is>
          <t>Act Now: A previously quiet repo reopened a visible checklist item.</t>
        </is>
      </c>
      <c r="AN70" s="37" t="inlineStr">
        <is>
          <t>No linked artifact available yet.</t>
        </is>
      </c>
      <c r="AO70" s="38" t="inlineStr">
        <is>
          <t>no</t>
        </is>
      </c>
    </row>
    <row r="71">
      <c r="A71" s="39" t="inlineStr">
        <is>
          <t>RepoA</t>
        </is>
      </c>
      <c r="B71" s="40" t="inlineStr">
        <is>
          <t>Protect shipped momentum</t>
        </is>
      </c>
      <c r="C71" s="41" t="inlineStr">
        <is>
          <t>ready</t>
        </is>
      </c>
      <c r="D71" s="41" t="inlineStr">
        <is>
          <t>maintenance</t>
        </is>
      </c>
      <c r="E71" s="41" t="n">
        <v>3</v>
      </c>
      <c r="F71" s="40" t="inlineStr">
        <is>
          <t>RepoA is healthy enough that a small polish task would keep it strong.</t>
        </is>
      </c>
      <c r="G71" s="40" t="inlineStr">
        <is>
          <t>Tidy the release notes and publish the next small maintenance release.</t>
        </is>
      </c>
      <c r="H71" s="40" t="inlineStr">
        <is>
          <t>No portfolio catalog contract is recorded yet.</t>
        </is>
      </c>
      <c r="I71" s="40" t="inlineStr">
        <is>
          <t>Operating Path: Unspecified (legacy confidence) — No operating-path rationale is recorded yet.</t>
        </is>
      </c>
      <c r="J71" s="40" t="inlineStr">
        <is>
          <t>missing-contract — Intent alignment cannot be judged until a portfolio catalog contract exists.</t>
        </is>
      </c>
      <c r="K71" s="41" t="inlineStr">
        <is>
          <t>—</t>
        </is>
      </c>
      <c r="L71" s="40" t="inlineStr">
        <is>
          <t>No maturity gap summary is recorded yet.</t>
        </is>
      </c>
      <c r="M71" s="40" t="inlineStr">
        <is>
          <t>Current run</t>
        </is>
      </c>
      <c r="N71" s="40" t="inlineStr">
        <is>
          <t>No follow-through evidence is recorded yet.</t>
        </is>
      </c>
      <c r="O71" s="40" t="inlineStr">
        <is>
          <t>Use the next run or linked artifact to confirm whether the recommendation moved.</t>
        </is>
      </c>
      <c r="P71" s="41" t="inlineStr">
        <is>
          <t>Unknown</t>
        </is>
      </c>
      <c r="Q71" s="41" t="inlineStr">
        <is>
          <t>Unknown</t>
        </is>
      </c>
      <c r="R71" s="40" t="inlineStr">
        <is>
          <t>No stronger follow-through escalation is currently surfaced.</t>
        </is>
      </c>
      <c r="S71" s="41" t="inlineStr">
        <is>
          <t>None</t>
        </is>
      </c>
      <c r="T71" s="40" t="inlineStr">
        <is>
          <t>No follow-through recovery or escalation-retirement signal is currently surfaced.</t>
        </is>
      </c>
      <c r="U71" s="41" t="inlineStr">
        <is>
          <t>None</t>
        </is>
      </c>
      <c r="V71" s="40" t="inlineStr">
        <is>
          <t>No follow-through recovery persistence signal is currently surfaced.</t>
        </is>
      </c>
      <c r="W71" s="41" t="inlineStr">
        <is>
          <t>None</t>
        </is>
      </c>
      <c r="X71" s="40" t="inlineStr">
        <is>
          <t>No relapse churn is currently surfaced.</t>
        </is>
      </c>
      <c r="Y71" s="41" t="inlineStr">
        <is>
          <t>None</t>
        </is>
      </c>
      <c r="Z71" s="40" t="inlineStr">
        <is>
          <t>No follow-through recovery freshness signal is currently surfaced.</t>
        </is>
      </c>
      <c r="AA71" s="41" t="inlineStr">
        <is>
          <t>None</t>
        </is>
      </c>
      <c r="AB71" s="40" t="inlineStr">
        <is>
          <t>No follow-through recovery memory reset signal is currently surfaced.</t>
        </is>
      </c>
      <c r="AC71" s="41" t="inlineStr">
        <is>
          <t>None</t>
        </is>
      </c>
      <c r="AD71" s="40" t="inlineStr">
        <is>
          <t>No follow-through recovery rebuild-strength signal is currently surfaced.</t>
        </is>
      </c>
      <c r="AE71" s="41" t="inlineStr">
        <is>
          <t>None</t>
        </is>
      </c>
      <c r="AF71" s="40" t="inlineStr">
        <is>
          <t>No follow-through recovery reacquisition signal is currently surfaced.</t>
        </is>
      </c>
      <c r="AG71" s="41" t="inlineStr">
        <is>
          <t>None</t>
        </is>
      </c>
      <c r="AH71" s="40" t="inlineStr">
        <is>
          <t>No follow-through reacquisition durability signal is currently surfaced.</t>
        </is>
      </c>
      <c r="AI71" s="41" t="inlineStr">
        <is>
          <t>None</t>
        </is>
      </c>
      <c r="AJ71" s="40" t="inlineStr">
        <is>
          <t>No follow-through reacquisition confidence-consolidation signal is currently surfaced.</t>
        </is>
      </c>
      <c r="AK71" s="41" t="inlineStr">
        <is>
          <t>Watch Closely</t>
        </is>
      </c>
      <c r="AL71" s="40" t="inlineStr">
        <is>
          <t>No follow-through evidence is recorded yet.</t>
        </is>
      </c>
      <c r="AM71" s="40" t="inlineStr">
        <is>
          <t>Watch Closely: No follow-through evidence is recorded yet.</t>
        </is>
      </c>
      <c r="AN71" s="40" t="inlineStr">
        <is>
          <t>No linked artifact available yet.</t>
        </is>
      </c>
      <c r="AO71" s="41" t="inlineStr">
        <is>
          <t>no</t>
        </is>
      </c>
    </row>
    <row r="72">
      <c r="A72" s="42" t="inlineStr">
        <is>
          <t>RepoA</t>
        </is>
      </c>
      <c r="B72" s="43" t="inlineStr">
        <is>
          <t>Archive old brainstorm notes</t>
        </is>
      </c>
      <c r="C72" s="44" t="inlineStr">
        <is>
          <t>deferred</t>
        </is>
      </c>
      <c r="D72" s="44" t="inlineStr">
        <is>
          <t>cleanup</t>
        </is>
      </c>
      <c r="E72" s="44" t="n">
        <v>4</v>
      </c>
      <c r="F72" s="43" t="inlineStr">
        <is>
          <t>This is cleanup-only work with no current pressure.</t>
        </is>
      </c>
      <c r="G72" s="43" t="inlineStr">
        <is>
          <t>Leave this alone unless priorities change.</t>
        </is>
      </c>
      <c r="H72" s="43" t="inlineStr">
        <is>
          <t>No portfolio catalog contract is recorded yet.</t>
        </is>
      </c>
      <c r="I72" s="43" t="inlineStr">
        <is>
          <t>Operating Path: Unspecified (legacy confidence) — No operating-path rationale is recorded yet.</t>
        </is>
      </c>
      <c r="J72" s="43" t="inlineStr">
        <is>
          <t>missing-contract — Intent alignment cannot be judged until a portfolio catalog contract exists.</t>
        </is>
      </c>
      <c r="K72" s="44" t="inlineStr">
        <is>
          <t>—</t>
        </is>
      </c>
      <c r="L72" s="43" t="inlineStr">
        <is>
          <t>No maturity gap summary is recorded yet.</t>
        </is>
      </c>
      <c r="M72" s="43" t="inlineStr">
        <is>
          <t>Current run</t>
        </is>
      </c>
      <c r="N72" s="43" t="inlineStr">
        <is>
          <t>No follow-through evidence is recorded yet.</t>
        </is>
      </c>
      <c r="O72" s="43" t="inlineStr">
        <is>
          <t>Use the next run or linked artifact to confirm whether the recommendation moved.</t>
        </is>
      </c>
      <c r="P72" s="44" t="inlineStr">
        <is>
          <t>Unknown</t>
        </is>
      </c>
      <c r="Q72" s="44" t="inlineStr">
        <is>
          <t>Unknown</t>
        </is>
      </c>
      <c r="R72" s="43" t="inlineStr">
        <is>
          <t>No stronger follow-through escalation is currently surfaced.</t>
        </is>
      </c>
      <c r="S72" s="44" t="inlineStr">
        <is>
          <t>None</t>
        </is>
      </c>
      <c r="T72" s="43" t="inlineStr">
        <is>
          <t>No follow-through recovery or escalation-retirement signal is currently surfaced.</t>
        </is>
      </c>
      <c r="U72" s="44" t="inlineStr">
        <is>
          <t>None</t>
        </is>
      </c>
      <c r="V72" s="43" t="inlineStr">
        <is>
          <t>No follow-through recovery persistence signal is currently surfaced.</t>
        </is>
      </c>
      <c r="W72" s="44" t="inlineStr">
        <is>
          <t>None</t>
        </is>
      </c>
      <c r="X72" s="43" t="inlineStr">
        <is>
          <t>No relapse churn is currently surfaced.</t>
        </is>
      </c>
      <c r="Y72" s="44" t="inlineStr">
        <is>
          <t>None</t>
        </is>
      </c>
      <c r="Z72" s="43" t="inlineStr">
        <is>
          <t>No follow-through recovery freshness signal is currently surfaced.</t>
        </is>
      </c>
      <c r="AA72" s="44" t="inlineStr">
        <is>
          <t>None</t>
        </is>
      </c>
      <c r="AB72" s="43" t="inlineStr">
        <is>
          <t>No follow-through recovery memory reset signal is currently surfaced.</t>
        </is>
      </c>
      <c r="AC72" s="44" t="inlineStr">
        <is>
          <t>None</t>
        </is>
      </c>
      <c r="AD72" s="43" t="inlineStr">
        <is>
          <t>No follow-through recovery rebuild-strength signal is currently surfaced.</t>
        </is>
      </c>
      <c r="AE72" s="44" t="inlineStr">
        <is>
          <t>None</t>
        </is>
      </c>
      <c r="AF72" s="43" t="inlineStr">
        <is>
          <t>No follow-through recovery reacquisition signal is currently surfaced.</t>
        </is>
      </c>
      <c r="AG72" s="44" t="inlineStr">
        <is>
          <t>None</t>
        </is>
      </c>
      <c r="AH72" s="43" t="inlineStr">
        <is>
          <t>No follow-through reacquisition durability signal is currently surfaced.</t>
        </is>
      </c>
      <c r="AI72" s="44" t="inlineStr">
        <is>
          <t>None</t>
        </is>
      </c>
      <c r="AJ72" s="43" t="inlineStr">
        <is>
          <t>No follow-through reacquisition confidence-consolidation signal is currently surfaced.</t>
        </is>
      </c>
      <c r="AK72" s="44" t="inlineStr">
        <is>
          <t>Watch Closely</t>
        </is>
      </c>
      <c r="AL72" s="43" t="inlineStr">
        <is>
          <t>No follow-through evidence is recorded yet.</t>
        </is>
      </c>
      <c r="AM72" s="43" t="inlineStr">
        <is>
          <t>Watch Closely: No follow-through evidence is recorded yet.</t>
        </is>
      </c>
      <c r="AN72" s="43" t="inlineStr">
        <is>
          <t>No linked artifact available yet.</t>
        </is>
      </c>
      <c r="AO72" s="44" t="inlineStr">
        <is>
          <t>yes</t>
        </is>
      </c>
    </row>
  </sheetData>
  <autoFilter ref="A68:AO72"/>
  <mergeCells count="4">
    <mergeCell ref="A67:H67"/>
    <mergeCell ref="A2:L2"/>
    <mergeCell ref="A1:L1"/>
    <mergeCell ref="A3:J3"/>
  </mergeCells>
  <hyperlinks>
    <hyperlink ref="AQ2" location="Dashboard!A1" display="Dashboard"/>
    <hyperlink ref="AQ4" location="'Repo Detail'!A1" display="Repo Detail"/>
    <hyperlink ref="AQ5" location="'Run Changes'!A1" display="Run Changes"/>
    <hyperlink ref="AQ6" location="'Executive Summary'!A1" display="Executive Summary"/>
    <hyperlink xmlns:r="http://schemas.openxmlformats.org/officeDocument/2006/relationships" ref="A69" r:id="rId1"/>
    <hyperlink xmlns:r="http://schemas.openxmlformats.org/officeDocument/2006/relationships" ref="AN69" r:id="rId2"/>
    <hyperlink xmlns:r="http://schemas.openxmlformats.org/officeDocument/2006/relationships" ref="A70" r:id="rId3"/>
    <hyperlink xmlns:r="http://schemas.openxmlformats.org/officeDocument/2006/relationships" ref="A71" r:id="rId4"/>
    <hyperlink xmlns:r="http://schemas.openxmlformats.org/officeDocument/2006/relationships" ref="A72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4ED8"/>
    <outlinePr summaryBelow="1" summaryRight="1"/>
    <pageSetUpPr/>
  </sheetPr>
  <dimension ref="A1:R8"/>
  <sheetViews>
    <sheetView showGridLines="1" zoomScale="110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4" customWidth="1" min="8" max="8"/>
    <col width="14" customWidth="1" min="9" max="9"/>
    <col width="17" customWidth="1" min="10" max="10"/>
    <col width="11" customWidth="1" min="11" max="11"/>
    <col width="43" customWidth="1" min="12" max="12"/>
    <col width="11" customWidth="1" min="13" max="13"/>
    <col width="11" customWidth="1" min="14" max="14"/>
    <col width="35" customWidth="1" min="15" max="15"/>
    <col width="39" customWidth="1" min="16" max="16"/>
  </cols>
  <sheetData>
    <row r="1">
      <c r="A1" s="1" t="inlineStr">
        <is>
          <t>Portfolio Explorer</t>
        </is>
      </c>
      <c r="R1" s="2" t="inlineStr">
        <is>
          <t>Quick Links</t>
        </is>
      </c>
    </row>
    <row r="2">
      <c r="A2" s="7" t="inlineStr">
        <is>
          <t>Use this sheet to rank the portfolio, sort by profile-aware score, and drill from summary into repo-level facts.</t>
        </is>
      </c>
      <c r="R2" s="4" t="inlineStr">
        <is>
          <t>Dashboard</t>
        </is>
      </c>
    </row>
    <row r="3">
      <c r="A3" s="7" t="inlineStr">
        <is>
          <t>How to use this sheet: sort by Profile Score first, then use the catalog columns to separate intentional experiments from maintained assets before drilling in.</t>
        </is>
      </c>
      <c r="R3" s="4" t="inlineStr">
        <is>
          <t>Review Queue</t>
        </is>
      </c>
    </row>
    <row r="4">
      <c r="R4" s="4" t="inlineStr">
        <is>
          <t>Repo Detail</t>
        </is>
      </c>
    </row>
    <row r="5" ht="30" customHeight="1">
      <c r="A5" s="32" t="inlineStr">
        <is>
          <t>Repo</t>
        </is>
      </c>
      <c r="B5" s="32" t="inlineStr">
        <is>
          <t>Profile Score</t>
        </is>
      </c>
      <c r="C5" s="32" t="inlineStr">
        <is>
          <t>Overall</t>
        </is>
      </c>
      <c r="D5" s="32" t="inlineStr">
        <is>
          <t>Interest</t>
        </is>
      </c>
      <c r="E5" s="32" t="inlineStr">
        <is>
          <t>Tier</t>
        </is>
      </c>
      <c r="F5" s="32" t="inlineStr">
        <is>
          <t>Collections</t>
        </is>
      </c>
      <c r="G5" s="32" t="inlineStr">
        <is>
          <t>Lifecycle</t>
        </is>
      </c>
      <c r="H5" s="32" t="inlineStr">
        <is>
          <t>Criticality</t>
        </is>
      </c>
      <c r="I5" s="32" t="inlineStr">
        <is>
          <t>Disposition</t>
        </is>
      </c>
      <c r="J5" s="32" t="inlineStr">
        <is>
          <t>Operating Path</t>
        </is>
      </c>
      <c r="K5" s="32" t="inlineStr">
        <is>
          <t>Maturity</t>
        </is>
      </c>
      <c r="L5" s="32" t="inlineStr">
        <is>
          <t>Scorecard Gap</t>
        </is>
      </c>
      <c r="M5" s="32" t="inlineStr">
        <is>
          <t>Security</t>
        </is>
      </c>
      <c r="N5" s="32" t="inlineStr">
        <is>
          <t>Hotspots</t>
        </is>
      </c>
      <c r="O5" s="32" t="inlineStr">
        <is>
          <t>Top Hotspot</t>
        </is>
      </c>
      <c r="P5" s="32" t="inlineStr">
        <is>
          <t>Primary Action</t>
        </is>
      </c>
      <c r="R5" s="4" t="inlineStr">
        <is>
          <t>Run Changes</t>
        </is>
      </c>
    </row>
    <row r="6">
      <c r="A6" s="28" t="inlineStr">
        <is>
          <t>RepoA</t>
        </is>
      </c>
      <c r="B6" s="29" t="n">
        <v>0.88</v>
      </c>
      <c r="C6" s="29" t="n">
        <v>0.88</v>
      </c>
      <c r="D6" s="29" t="n">
        <v>0.61</v>
      </c>
      <c r="E6" s="28" t="inlineStr">
        <is>
          <t>shipped</t>
        </is>
      </c>
      <c r="F6" s="28" t="inlineStr">
        <is>
          <t>showcase</t>
        </is>
      </c>
      <c r="G6" s="28" t="inlineStr">
        <is>
          <t>—</t>
        </is>
      </c>
      <c r="H6" s="29" t="inlineStr">
        <is>
          <t>—</t>
        </is>
      </c>
      <c r="I6" s="28" t="inlineStr">
        <is>
          <t>—</t>
        </is>
      </c>
      <c r="J6" s="28" t="inlineStr">
        <is>
          <t>—</t>
        </is>
      </c>
      <c r="K6" s="28" t="inlineStr">
        <is>
          <t>—</t>
        </is>
      </c>
      <c r="L6" s="28" t="inlineStr">
        <is>
          <t>No maturity gap summary is recorded yet.</t>
        </is>
      </c>
      <c r="M6" s="28" t="inlineStr">
        <is>
          <t>healthy</t>
        </is>
      </c>
      <c r="N6" s="28" t="n">
        <v>1</v>
      </c>
      <c r="O6" s="28" t="inlineStr">
        <is>
          <t>Keep release notes fresh</t>
        </is>
      </c>
      <c r="P6" s="28" t="inlineStr">
        <is>
          <t>Publish the next maintenance release</t>
        </is>
      </c>
      <c r="R6" s="4" t="inlineStr">
        <is>
          <t>Executive Summary</t>
        </is>
      </c>
    </row>
    <row r="7">
      <c r="A7" s="10" t="inlineStr">
        <is>
          <t>RepoB</t>
        </is>
      </c>
      <c r="B7" s="30" t="n">
        <v>0.62</v>
      </c>
      <c r="C7" s="30" t="n">
        <v>0.62</v>
      </c>
      <c r="D7" s="30" t="n">
        <v>0.37</v>
      </c>
      <c r="E7" s="10" t="inlineStr">
        <is>
          <t>functional</t>
        </is>
      </c>
      <c r="F7" s="10" t="inlineStr"/>
      <c r="G7" s="10" t="inlineStr">
        <is>
          <t>—</t>
        </is>
      </c>
      <c r="H7" s="30" t="inlineStr">
        <is>
          <t>—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  <c r="L7" s="10" t="inlineStr">
        <is>
          <t>No maturity gap summary is recorded yet.</t>
        </is>
      </c>
      <c r="M7" s="10" t="inlineStr">
        <is>
          <t>watch</t>
        </is>
      </c>
      <c r="N7" s="10" t="n">
        <v>1</v>
      </c>
      <c r="O7" s="10" t="inlineStr">
        <is>
          <t>Finish release checklist</t>
        </is>
      </c>
      <c r="P7" s="10" t="inlineStr">
        <is>
          <t>Close the reopened release item</t>
        </is>
      </c>
    </row>
    <row r="8">
      <c r="A8" s="28" t="inlineStr">
        <is>
          <t>RepoC</t>
        </is>
      </c>
      <c r="B8" s="29" t="n">
        <v>0.44</v>
      </c>
      <c r="C8" s="29" t="n">
        <v>0.44</v>
      </c>
      <c r="D8" s="29" t="n">
        <v>0.16</v>
      </c>
      <c r="E8" s="28" t="inlineStr">
        <is>
          <t>wip</t>
        </is>
      </c>
      <c r="F8" s="28" t="inlineStr"/>
      <c r="G8" s="28" t="inlineStr">
        <is>
          <t>—</t>
        </is>
      </c>
      <c r="H8" s="29" t="inlineStr">
        <is>
          <t>—</t>
        </is>
      </c>
      <c r="I8" s="28" t="inlineStr">
        <is>
          <t>—</t>
        </is>
      </c>
      <c r="J8" s="28" t="inlineStr">
        <is>
          <t>—</t>
        </is>
      </c>
      <c r="K8" s="28" t="inlineStr">
        <is>
          <t>—</t>
        </is>
      </c>
      <c r="L8" s="28" t="inlineStr">
        <is>
          <t>No maturity gap summary is recorded yet.</t>
        </is>
      </c>
      <c r="M8" s="28" t="inlineStr">
        <is>
          <t>critical</t>
        </is>
      </c>
      <c r="N8" s="28" t="n">
        <v>1</v>
      </c>
      <c r="O8" s="28" t="inlineStr">
        <is>
          <t>Security posture needs attention</t>
        </is>
      </c>
      <c r="P8" s="28" t="inlineStr">
        <is>
          <t>Preview governance controls</t>
        </is>
      </c>
    </row>
  </sheetData>
  <autoFilter ref="A5:P8"/>
  <mergeCells count="3">
    <mergeCell ref="A1:J1"/>
    <mergeCell ref="A3:P3"/>
    <mergeCell ref="A2:J2"/>
  </mergeCells>
  <hyperlinks>
    <hyperlink ref="R2" location="Dashboard!A1" display="Dashboard"/>
    <hyperlink ref="R3" location="'Review Queue'!A1" display="Review Queue"/>
    <hyperlink ref="R4" location="'Repo Detail'!A1" display="Repo Detail"/>
    <hyperlink ref="R5" location="'Run Changes'!A1" display="Run Changes"/>
    <hyperlink ref="R6" location="'Executive Summary'!A1" display="Executive Summary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I4"/>
  <sheetViews>
    <sheetView showGridLines="1" zoomScale="105" zoomScaleNormal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8" customWidth="1" min="3" max="3"/>
    <col width="9" customWidth="1" min="4" max="4"/>
    <col width="11" customWidth="1" min="5" max="5"/>
    <col width="11" customWidth="1" min="6" max="6"/>
    <col width="13" customWidth="1" min="7" max="7"/>
    <col width="17" customWidth="1" min="8" max="8"/>
    <col width="23" customWidth="1" min="9" max="9"/>
  </cols>
  <sheetData>
    <row r="1">
      <c r="A1" s="6" t="inlineStr">
        <is>
          <t>Implementation Hotspots</t>
        </is>
      </c>
    </row>
    <row r="2">
      <c r="A2" s="25" t="inlineStr">
        <is>
          <t>No meaningful implementation hotspots are currently surfaced.</t>
        </is>
      </c>
    </row>
    <row r="3"/>
    <row r="4" ht="30" customHeight="1">
      <c r="A4" s="32" t="inlineStr">
        <is>
          <t>Repo</t>
        </is>
      </c>
      <c r="B4" s="32" t="inlineStr">
        <is>
          <t>Scope</t>
        </is>
      </c>
      <c r="C4" s="32" t="inlineStr">
        <is>
          <t>Path</t>
        </is>
      </c>
      <c r="D4" s="32" t="inlineStr">
        <is>
          <t>Module</t>
        </is>
      </c>
      <c r="E4" s="32" t="inlineStr">
        <is>
          <t>Category</t>
        </is>
      </c>
      <c r="F4" s="32" t="inlineStr">
        <is>
          <t>Pressure</t>
        </is>
      </c>
      <c r="G4" s="32" t="inlineStr">
        <is>
          <t>Suggestion</t>
        </is>
      </c>
      <c r="H4" s="32" t="inlineStr">
        <is>
          <t>Why It Matters</t>
        </is>
      </c>
      <c r="I4" s="32" t="inlineStr">
        <is>
          <t>Suggested First Move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369A1"/>
    <outlinePr summaryBelow="1" summaryRight="1"/>
    <pageSetUpPr/>
  </sheetPr>
  <dimension ref="A1:F36"/>
  <sheetViews>
    <sheetView showGridLines="1" zoomScale="105" zoomScaleNormal="10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18" customWidth="1" min="3" max="3"/>
    <col width="12" customWidth="1" min="4" max="4"/>
    <col width="16" customWidth="1" min="5" max="5"/>
    <col width="10" customWidth="1" min="6" max="6"/>
  </cols>
  <sheetData>
    <row r="1">
      <c r="A1" s="6" t="inlineStr">
        <is>
          <t>Operator Outcomes</t>
        </is>
      </c>
    </row>
    <row r="2">
      <c r="A2" s="25" t="inlineStr">
        <is>
          <t>Not enough operator history is recorded yet to judge outcomes.</t>
        </is>
      </c>
    </row>
    <row r="3">
      <c r="A3" s="25" t="inlineStr">
        <is>
          <t>Not enough judged recommendation history is recorded yet to judge operator effectiveness.</t>
        </is>
      </c>
    </row>
    <row r="4">
      <c r="A4" s="25" t="inlineStr">
        <is>
          <t>High-pressure queue trend is not ready yet.</t>
        </is>
      </c>
    </row>
    <row r="5">
      <c r="A5" s="25" t="inlineStr">
        <is>
          <t>No recent Action Sync apply needs post-apply monitoring yet, so the local weekly story can stay local.</t>
        </is>
      </c>
    </row>
    <row r="6">
      <c r="A6" s="25" t="inlineStr">
        <is>
          <t>Stay local for now; no recent Action Sync apply needs post-apply follow-up yet.</t>
        </is>
      </c>
    </row>
    <row r="7">
      <c r="A7" s="25" t="inlineStr">
        <is>
          <t>Campaign tuning is neutral because there is not enough outcome history yet to bias tied recommendations.</t>
        </is>
      </c>
    </row>
    <row r="8">
      <c r="A8" s="25" t="inlineStr">
        <is>
          <t>No current campaign needs a tuning tie-break yet.</t>
        </is>
      </c>
    </row>
    <row r="9">
      <c r="A9" s="25" t="inlineStr">
        <is>
          <t>Automation guidance stays quiet until a campaign has a clearly safe preview, follow-up, or manual-only posture.</t>
        </is>
      </c>
    </row>
    <row r="10">
      <c r="A10" s="25" t="inlineStr">
        <is>
          <t>Stay local for now; no current campaign has a stronger safe automation posture than manual review.</t>
        </is>
      </c>
    </row>
    <row r="11">
      <c r="A11" s="25" t="inlineStr">
        <is>
          <t>No current approval needs review yet, so the approval workflow can stay local for now.</t>
        </is>
      </c>
    </row>
    <row r="12">
      <c r="A12" s="25" t="inlineStr">
        <is>
          <t>Stay local for now; no current approval needs review.</t>
        </is>
      </c>
    </row>
    <row r="13"/>
    <row r="14" ht="30" customHeight="1">
      <c r="A14" s="32" t="inlineStr">
        <is>
          <t>Metric</t>
        </is>
      </c>
      <c r="B14" s="32" t="inlineStr">
        <is>
          <t>Status</t>
        </is>
      </c>
      <c r="C14" s="32" t="inlineStr">
        <is>
          <t>Value</t>
        </is>
      </c>
      <c r="D14" s="32" t="inlineStr">
        <is>
          <t>Numerator</t>
        </is>
      </c>
      <c r="E14" s="32" t="inlineStr">
        <is>
          <t>Denominator</t>
        </is>
      </c>
      <c r="F14" s="32" t="inlineStr">
        <is>
          <t>Summary</t>
        </is>
      </c>
    </row>
    <row r="15">
      <c r="A15" s="10" t="inlineStr">
        <is>
          <t>Review To Action Closure Rate</t>
        </is>
      </c>
      <c r="B15" s="30" t="inlineStr">
        <is>
          <t>insufficient-evidence</t>
        </is>
      </c>
      <c r="C15" s="30" t="inlineStr"/>
      <c r="D15" s="30" t="inlineStr"/>
      <c r="E15" s="30" t="inlineStr"/>
      <c r="F15" s="10" t="inlineStr"/>
    </row>
    <row r="16">
      <c r="A16" s="10" t="inlineStr">
        <is>
          <t>Median Runs To Quiet After Escalation</t>
        </is>
      </c>
      <c r="B16" s="30" t="inlineStr">
        <is>
          <t>insufficient-evidence</t>
        </is>
      </c>
      <c r="C16" s="30" t="inlineStr"/>
      <c r="D16" s="30" t="inlineStr"/>
      <c r="E16" s="30" t="inlineStr"/>
      <c r="F16" s="10" t="inlineStr"/>
    </row>
    <row r="17">
      <c r="A17" s="10" t="inlineStr">
        <is>
          <t>Repeated Regression Rate</t>
        </is>
      </c>
      <c r="B17" s="30" t="inlineStr">
        <is>
          <t>insufficient-evidence</t>
        </is>
      </c>
      <c r="C17" s="30" t="inlineStr"/>
      <c r="D17" s="30" t="inlineStr"/>
      <c r="E17" s="30" t="inlineStr"/>
      <c r="F17" s="10" t="inlineStr"/>
    </row>
    <row r="18">
      <c r="A18" s="10" t="inlineStr">
        <is>
          <t>Recommendation Validation Rate</t>
        </is>
      </c>
      <c r="B18" s="30" t="inlineStr">
        <is>
          <t>insufficient-evidence</t>
        </is>
      </c>
      <c r="C18" s="30" t="inlineStr"/>
      <c r="D18" s="30" t="inlineStr"/>
      <c r="E18" s="30" t="inlineStr"/>
      <c r="F18" s="10" t="inlineStr"/>
    </row>
    <row r="19">
      <c r="A19" s="10" t="inlineStr">
        <is>
          <t>Noisy Guidance Rate</t>
        </is>
      </c>
      <c r="B19" s="30" t="inlineStr">
        <is>
          <t>insufficient-evidence</t>
        </is>
      </c>
      <c r="C19" s="30" t="inlineStr"/>
      <c r="D19" s="30" t="inlineStr"/>
      <c r="E19" s="30" t="inlineStr"/>
      <c r="F19" s="10" t="inlineStr"/>
    </row>
    <row r="20"/>
    <row r="21"/>
    <row r="22" ht="30" customHeight="1">
      <c r="A22" s="32" t="inlineStr">
        <is>
          <t>Post-Apply Monitoring</t>
        </is>
      </c>
      <c r="B22" s="32" t="n"/>
      <c r="C22" s="32" t="n"/>
      <c r="D22" s="32" t="n"/>
      <c r="E22" s="32" t="n"/>
      <c r="F22" s="32" t="n"/>
    </row>
    <row r="23" ht="30" customHeight="1">
      <c r="A23" s="32" t="inlineStr">
        <is>
          <t>Campaign</t>
        </is>
      </c>
      <c r="B23" s="32" t="inlineStr">
        <is>
          <t>State</t>
        </is>
      </c>
      <c r="C23" s="32" t="inlineStr">
        <is>
          <t>Pressure Effect</t>
        </is>
      </c>
      <c r="D23" s="32" t="inlineStr">
        <is>
          <t>Drift</t>
        </is>
      </c>
      <c r="E23" s="32" t="inlineStr">
        <is>
          <t>Reopen</t>
        </is>
      </c>
      <c r="F23" s="32" t="inlineStr">
        <is>
          <t>Summary</t>
        </is>
      </c>
    </row>
    <row r="24"/>
    <row r="25"/>
    <row r="26"/>
    <row r="27"/>
    <row r="28"/>
    <row r="29"/>
    <row r="30" ht="30" customHeight="1">
      <c r="A30" s="32" t="inlineStr">
        <is>
          <t>Recent Examples</t>
        </is>
      </c>
      <c r="B30" s="32" t="n"/>
      <c r="C30" s="32" t="n"/>
    </row>
    <row r="31">
      <c r="A31" t="inlineStr">
        <is>
          <t>Closed Actions</t>
        </is>
      </c>
      <c r="B31" t="inlineStr">
        <is>
          <t>No recent examples are recorded yet.</t>
        </is>
      </c>
    </row>
    <row r="32">
      <c r="A32" t="inlineStr">
        <is>
          <t>Reopened Recommendations</t>
        </is>
      </c>
      <c r="B32" t="inlineStr">
        <is>
          <t>No recent examples are recorded yet.</t>
        </is>
      </c>
    </row>
    <row r="33">
      <c r="A33" t="inlineStr">
        <is>
          <t>Regression Examples</t>
        </is>
      </c>
      <c r="B33" t="inlineStr">
        <is>
          <t>No recent examples are recorded yet.</t>
        </is>
      </c>
    </row>
    <row r="34"/>
    <row r="35"/>
    <row r="36" ht="30" customHeight="1">
      <c r="A36" s="32" t="inlineStr">
        <is>
          <t>Run</t>
        </is>
      </c>
      <c r="B36" s="32" t="inlineStr">
        <is>
          <t>Generated</t>
        </is>
      </c>
      <c r="C36" s="32" t="inlineStr">
        <is>
          <t>Blocked</t>
        </is>
      </c>
      <c r="D36" s="32" t="inlineStr">
        <is>
          <t>Urgent</t>
        </is>
      </c>
      <c r="E36" s="32" t="inlineStr">
        <is>
          <t>High Pressure</t>
        </is>
      </c>
    </row>
  </sheetData>
  <mergeCells count="12">
    <mergeCell ref="A2:F2"/>
    <mergeCell ref="A11:F11"/>
    <mergeCell ref="A10:F10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D28D9"/>
    <outlinePr summaryBelow="1" summaryRight="1"/>
    <pageSetUpPr/>
  </sheetPr>
  <dimension ref="A1:H18"/>
  <sheetViews>
    <sheetView showGridLines="1" zoomScale="105" zoomScaleNormal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12" customWidth="1" min="3" max="3"/>
    <col width="10" customWidth="1" min="4" max="4"/>
    <col width="11" customWidth="1" min="5" max="5"/>
    <col width="14" customWidth="1" min="6" max="6"/>
    <col width="21" customWidth="1" min="7" max="7"/>
    <col width="10" customWidth="1" min="8" max="8"/>
  </cols>
  <sheetData>
    <row r="1">
      <c r="A1" s="6" t="inlineStr">
        <is>
          <t>Approval Ledger</t>
        </is>
      </c>
    </row>
    <row r="2">
      <c r="A2" s="25" t="inlineStr">
        <is>
          <t>No current approval needs review yet, so the approval workflow can stay local for now.</t>
        </is>
      </c>
    </row>
    <row r="3">
      <c r="A3" s="25" t="inlineStr">
        <is>
          <t>Stay local for now; no current approval needs review.</t>
        </is>
      </c>
    </row>
    <row r="4"/>
    <row r="5" ht="30" customHeight="1">
      <c r="A5" s="32" t="inlineStr">
        <is>
          <t>Label</t>
        </is>
      </c>
      <c r="B5" s="32" t="inlineStr">
        <is>
          <t>State</t>
        </is>
      </c>
      <c r="C5" s="32" t="inlineStr">
        <is>
          <t>Follow-Up</t>
        </is>
      </c>
      <c r="D5" s="32" t="inlineStr">
        <is>
          <t>Subject</t>
        </is>
      </c>
      <c r="E5" s="32" t="inlineStr">
        <is>
          <t>Reviewer</t>
        </is>
      </c>
      <c r="F5" s="32" t="inlineStr">
        <is>
          <t>Approved At</t>
        </is>
      </c>
      <c r="G5" s="32" t="inlineStr">
        <is>
          <t>Next Follow-Up Due</t>
        </is>
      </c>
      <c r="H5" s="32" t="inlineStr">
        <is>
          <t>Summary</t>
        </is>
      </c>
    </row>
    <row r="6">
      <c r="A6" s="45" t="inlineStr">
        <is>
          <t>Needs Re-Approval</t>
        </is>
      </c>
    </row>
    <row r="7">
      <c r="A7" t="inlineStr">
        <is>
          <t>None</t>
        </is>
      </c>
    </row>
    <row r="8">
      <c r="A8" s="45" t="inlineStr">
        <is>
          <t>Overdue Follow-Up</t>
        </is>
      </c>
    </row>
    <row r="9">
      <c r="A9" t="inlineStr">
        <is>
          <t>None</t>
        </is>
      </c>
    </row>
    <row r="10">
      <c r="A10" s="45" t="inlineStr">
        <is>
          <t>Ready For Review</t>
        </is>
      </c>
    </row>
    <row r="11">
      <c r="A11" t="inlineStr">
        <is>
          <t>None</t>
        </is>
      </c>
    </row>
    <row r="12">
      <c r="A12" s="45" t="inlineStr">
        <is>
          <t>Due Soon Follow-Up</t>
        </is>
      </c>
    </row>
    <row r="13">
      <c r="A13" t="inlineStr">
        <is>
          <t>None</t>
        </is>
      </c>
    </row>
    <row r="14">
      <c r="A14" s="45" t="inlineStr">
        <is>
          <t>Approved But Manual</t>
        </is>
      </c>
    </row>
    <row r="15">
      <c r="A15" t="inlineStr">
        <is>
          <t>None</t>
        </is>
      </c>
    </row>
    <row r="16">
      <c r="A16" s="45" t="inlineStr">
        <is>
          <t>Blocked</t>
        </is>
      </c>
    </row>
    <row r="17">
      <c r="A17" t="inlineStr">
        <is>
          <t>None</t>
        </is>
      </c>
    </row>
    <row r="18"/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766E"/>
    <outlinePr summaryBelow="1" summaryRight="1"/>
    <pageSetUpPr/>
  </sheetPr>
  <dimension ref="A1:F17"/>
  <sheetViews>
    <sheetView showGridLines="1" zoomScale="105" zoomScaleNormal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17" customWidth="1" min="3" max="3"/>
    <col width="22" customWidth="1" min="4" max="4"/>
    <col width="18" customWidth="1" min="5" max="5"/>
    <col width="10" customWidth="1" min="6" max="6"/>
  </cols>
  <sheetData>
    <row r="1">
      <c r="A1" s="6" t="inlineStr">
        <is>
          <t>Historical Portfolio Intelligence</t>
        </is>
      </c>
    </row>
    <row r="2">
      <c r="A2" s="25" t="inlineStr">
        <is>
          <t>Historical portfolio intelligence is still thin, so the weekly story should stay grounded in the current run and recent operator queue.</t>
        </is>
      </c>
    </row>
    <row r="3">
      <c r="A3" s="25" t="inlineStr">
        <is>
          <t>Stay local for now; no repo has enough cross-run intervention evidence to demand a historical follow-up read yet.</t>
        </is>
      </c>
    </row>
    <row r="4"/>
    <row r="5" ht="30" customHeight="1">
      <c r="A5" s="32" t="inlineStr">
        <is>
          <t>Repo</t>
        </is>
      </c>
      <c r="B5" s="32" t="inlineStr">
        <is>
          <t>Status</t>
        </is>
      </c>
      <c r="C5" s="32" t="inlineStr">
        <is>
          <t>Pressure Trend</t>
        </is>
      </c>
      <c r="D5" s="32" t="inlineStr">
        <is>
          <t>Hotspot Persistence</t>
        </is>
      </c>
      <c r="E5" s="32" t="inlineStr">
        <is>
          <t>Scorecard Trend</t>
        </is>
      </c>
      <c r="F5" s="32" t="inlineStr">
        <is>
          <t>Summary</t>
        </is>
      </c>
    </row>
    <row r="6">
      <c r="A6" s="45" t="inlineStr">
        <is>
          <t>Relapsing</t>
        </is>
      </c>
    </row>
    <row r="7">
      <c r="A7" s="25" t="inlineStr">
        <is>
          <t>No repos currently show a relapsing story.</t>
        </is>
      </c>
    </row>
    <row r="8"/>
    <row r="9">
      <c r="A9" s="45" t="inlineStr">
        <is>
          <t>Persistent Pressure</t>
        </is>
      </c>
    </row>
    <row r="10">
      <c r="A10" s="25" t="inlineStr">
        <is>
          <t>No repos currently show a persistent pressure story.</t>
        </is>
      </c>
    </row>
    <row r="11"/>
    <row r="12">
      <c r="A12" s="45" t="inlineStr">
        <is>
          <t>Improving After Intervention</t>
        </is>
      </c>
    </row>
    <row r="13">
      <c r="A13" s="25" t="inlineStr">
        <is>
          <t>No repos currently show a improving after intervention story.</t>
        </is>
      </c>
    </row>
    <row r="14"/>
    <row r="15">
      <c r="A15" s="45" t="inlineStr">
        <is>
          <t>Holding Steady</t>
        </is>
      </c>
    </row>
    <row r="16">
      <c r="A16" s="25" t="inlineStr">
        <is>
          <t>No repos currently show a holding steady story.</t>
        </is>
      </c>
    </row>
    <row r="17"/>
  </sheetData>
  <mergeCells count="7">
    <mergeCell ref="A2:F2"/>
    <mergeCell ref="A16:F16"/>
    <mergeCell ref="A10:F10"/>
    <mergeCell ref="A13:F13"/>
    <mergeCell ref="A1:F1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40AF"/>
    <outlinePr summaryBelow="1" summaryRight="1"/>
    <pageSetUpPr/>
  </sheetPr>
  <dimension ref="A1:L65"/>
  <sheetViews>
    <sheetView showGridLines="0" zoomScale="115" zoomScaleNormal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Repo Detail</t>
        </is>
      </c>
      <c r="L1" s="2" t="inlineStr">
        <is>
          <t>Quick Links</t>
        </is>
      </c>
    </row>
    <row r="2">
      <c r="A2" s="7" t="inlineStr">
        <is>
          <t>Pick one repo, then use this page as the fastest single-repo briefing: score, tier, trend, risks, and next move.</t>
        </is>
      </c>
      <c r="L2" s="4" t="inlineStr">
        <is>
          <t>Dashboard</t>
        </is>
      </c>
    </row>
    <row r="3">
      <c r="A3" s="5" t="inlineStr">
        <is>
          <t>Choose one repo, skim the briefing blocks top to bottom, then jump to Run Changes or Review Queue if you need more context.</t>
        </is>
      </c>
      <c r="L3" s="4" t="inlineStr">
        <is>
          <t>Review Queue</t>
        </is>
      </c>
    </row>
    <row r="4">
      <c r="A4" s="2" t="inlineStr">
        <is>
          <t>Select Repo</t>
        </is>
      </c>
      <c r="B4" t="inlineStr">
        <is>
          <t>RepoA</t>
        </is>
      </c>
      <c r="D4" s="2" t="inlineStr">
        <is>
          <t>GitHub</t>
        </is>
      </c>
      <c r="E4" s="46">
        <f>IFERROR(IF(VLOOKUP($B$4,Data_RepoDetail!$A:$BZ,2,FALSE)="","Repo URL unavailable",HYPERLINK(VLOOKUP($B$4,Data_RepoDetail!$A:$BZ,2,FALSE),"Open Repo")),"Repo URL unavailable")</f>
        <v/>
      </c>
      <c r="L4" s="12" t="inlineStr">
        <is>
          <t>Repo Detail</t>
        </is>
      </c>
    </row>
    <row r="5">
      <c r="L5" s="4" t="inlineStr">
        <is>
          <t>Run Changes</t>
        </is>
      </c>
    </row>
    <row r="6">
      <c r="A6" s="2" t="inlineStr">
        <is>
          <t>Repo</t>
        </is>
      </c>
      <c r="B6" s="10">
        <f>IFERROR(IF(VLOOKUP($B$4,Data_RepoDetail!$A:$BZ,1,FALSE)="","No repo selected.",VLOOKUP($B$4,Data_RepoDetail!$A:$BZ,1,FALSE)),"No repo selected.")</f>
        <v/>
      </c>
      <c r="D6" s="2" t="inlineStr">
        <is>
          <t>Language</t>
        </is>
      </c>
      <c r="E6" s="10">
        <f>IFERROR(IF(VLOOKUP($B$4,Data_RepoDetail!$A:$BZ,3,FALSE)="","Unknown",VLOOKUP($B$4,Data_RepoDetail!$A:$BZ,3,FALSE)),"Unknown")</f>
        <v/>
      </c>
      <c r="G6" s="2" t="inlineStr">
        <is>
          <t>Badges</t>
        </is>
      </c>
      <c r="H6" s="10">
        <f>IFERROR(IF(VLOOKUP($B$4,Data_RepoDetail!$A:$BZ,9,FALSE)="","None",VLOOKUP($B$4,Data_RepoDetail!$A:$BZ,9,FALSE)),"None")</f>
        <v/>
      </c>
      <c r="L6" s="4" t="inlineStr">
        <is>
          <t>Executive Summary</t>
        </is>
      </c>
    </row>
    <row r="7">
      <c r="A7" s="2" t="inlineStr">
        <is>
          <t>Overall Score</t>
        </is>
      </c>
      <c r="B7" s="10">
        <f>IFERROR(VLOOKUP($B$4,Data_RepoDetail!$A:$BZ,5,FALSE),"")</f>
        <v/>
      </c>
      <c r="D7" s="2" t="inlineStr">
        <is>
          <t>Interest Score</t>
        </is>
      </c>
      <c r="E7" s="10">
        <f>IFERROR(VLOOKUP($B$4,Data_RepoDetail!$A:$BZ,6,FALSE),"")</f>
        <v/>
      </c>
      <c r="G7" s="2" t="inlineStr">
        <is>
          <t>Flags</t>
        </is>
      </c>
      <c r="H7" s="10">
        <f>IFERROR(IF(VLOOKUP($B$4,Data_RepoDetail!$A:$BZ,10,FALSE)="","None",VLOOKUP($B$4,Data_RepoDetail!$A:$BZ,10,FALSE)),"None")</f>
        <v/>
      </c>
    </row>
    <row r="8">
      <c r="A8" s="2" t="inlineStr">
        <is>
          <t>Grade</t>
        </is>
      </c>
      <c r="B8" s="10">
        <f>IFERROR(IF(VLOOKUP($B$4,Data_RepoDetail!$A:$BZ,7,FALSE)="","—",VLOOKUP($B$4,Data_RepoDetail!$A:$BZ,7,FALSE)),"—")</f>
        <v/>
      </c>
      <c r="D8" s="2" t="inlineStr">
        <is>
          <t>Tier</t>
        </is>
      </c>
      <c r="E8" s="10">
        <f>IFERROR(IF(VLOOKUP($B$4,Data_RepoDetail!$A:$BZ,8,FALSE)="","—",VLOOKUP($B$4,Data_RepoDetail!$A:$BZ,8,FALSE)),"—")</f>
        <v/>
      </c>
      <c r="G8" s="2" t="inlineStr">
        <is>
          <t>Collections</t>
        </is>
      </c>
      <c r="H8" s="10">
        <f>IFERROR(IF(VLOOKUP($B$4,Data_RepoDetail!$A:$BZ,11,FALSE)="","—",VLOOKUP($B$4,Data_RepoDetail!$A:$BZ,11,FALSE)),"—")</f>
        <v/>
      </c>
    </row>
    <row r="9">
      <c r="A9" s="2" t="inlineStr">
        <is>
          <t>Security</t>
        </is>
      </c>
      <c r="B9" s="10">
        <f>IFERROR(IF(VLOOKUP($B$4,Data_RepoDetail!$A:$BZ,12,FALSE)="","unknown",VLOOKUP($B$4,Data_RepoDetail!$A:$BZ,12,FALSE)),"unknown")</f>
        <v/>
      </c>
      <c r="D9" s="2" t="inlineStr">
        <is>
          <t>Security Score</t>
        </is>
      </c>
      <c r="E9" s="10">
        <f>IFERROR(VLOOKUP($B$4,Data_RepoDetail!$A:$BZ,13,FALSE),"")</f>
        <v/>
      </c>
      <c r="G9" s="2" t="inlineStr">
        <is>
          <t>Trend</t>
        </is>
      </c>
      <c r="H9" s="10">
        <f>IFERROR(IF(VLOOKUP($B$4,Data_RepoDetail!$A:$BZ,18,FALSE)="","No trend history yet.",VLOOKUP($B$4,Data_RepoDetail!$A:$BZ,18,FALSE)),"No trend history yet.")</f>
        <v/>
      </c>
    </row>
    <row r="10"/>
    <row r="11">
      <c r="A11" s="2" t="inlineStr">
        <is>
          <t>Description</t>
        </is>
      </c>
      <c r="B11" s="25">
        <f>IFERROR(IF(VLOOKUP($B$4,Data_RepoDetail!$A:$BZ,4,FALSE)="","No description recorded yet.",VLOOKUP($B$4,Data_RepoDetail!$A:$BZ,4,FALSE)),"No description recorded yet.")</f>
        <v/>
      </c>
    </row>
    <row r="12"/>
    <row r="13">
      <c r="A13" s="6" t="inlineStr">
        <is>
          <t>Current State</t>
        </is>
      </c>
      <c r="E13" s="6" t="inlineStr">
        <is>
          <t>Why This Repo Looks This Way</t>
        </is>
      </c>
    </row>
    <row r="14">
      <c r="A14" s="2" t="inlineStr">
        <is>
          <t>Ship Readiness</t>
        </is>
      </c>
      <c r="B14" s="10">
        <f>IFERROR(IF(VLOOKUP($B$4,Data_RepoDetail!$A:$BZ,14,FALSE)="","No summary recorded yet.",VLOOKUP($B$4,Data_RepoDetail!$A:$BZ,14,FALSE)),"No summary recorded yet.")</f>
        <v/>
      </c>
      <c r="E14" s="2" t="inlineStr">
        <is>
          <t>Strongest Drivers</t>
        </is>
      </c>
      <c r="F14" s="10">
        <f>IFERROR(IF(VLOOKUP($B$4,Data_RepoDetail!$A:$BZ,19,FALSE)="","No briefing detail recorded yet.",VLOOKUP($B$4,Data_RepoDetail!$A:$BZ,19,FALSE)),"No briefing detail recorded yet.")</f>
        <v/>
      </c>
    </row>
    <row r="15">
      <c r="A15" s="2" t="inlineStr">
        <is>
          <t>Momentum</t>
        </is>
      </c>
      <c r="B15" s="10">
        <f>IFERROR(IF(VLOOKUP($B$4,Data_RepoDetail!$A:$BZ,15,FALSE)="","No summary recorded yet.",VLOOKUP($B$4,Data_RepoDetail!$A:$BZ,15,FALSE)),"No summary recorded yet.")</f>
        <v/>
      </c>
      <c r="E15" s="2" t="inlineStr">
        <is>
          <t>Biggest Drags</t>
        </is>
      </c>
      <c r="F15" s="10">
        <f>IFERROR(IF(VLOOKUP($B$4,Data_RepoDetail!$A:$BZ,20,FALSE)="","No briefing detail recorded yet.",VLOOKUP($B$4,Data_RepoDetail!$A:$BZ,20,FALSE)),"No briefing detail recorded yet.")</f>
        <v/>
      </c>
    </row>
    <row r="16">
      <c r="A16" s="2" t="inlineStr">
        <is>
          <t>Security</t>
        </is>
      </c>
      <c r="B16" s="10">
        <f>IFERROR(IF(VLOOKUP($B$4,Data_RepoDetail!$A:$BZ,16,FALSE)="","No summary recorded yet.",VLOOKUP($B$4,Data_RepoDetail!$A:$BZ,16,FALSE)),"No summary recorded yet.")</f>
        <v/>
      </c>
      <c r="E16" s="2" t="inlineStr">
        <is>
          <t>Last Movement</t>
        </is>
      </c>
      <c r="F16" s="10">
        <f>IFERROR(IF(VLOOKUP($B$4,Data_RepoDetail!$A:$BZ,30,FALSE)="","No briefing detail recorded yet.",VLOOKUP($B$4,Data_RepoDetail!$A:$BZ,30,FALSE)),"No briefing detail recorded yet.")</f>
        <v/>
      </c>
    </row>
    <row r="17">
      <c r="A17" s="2" t="inlineStr">
        <is>
          <t>Portfolio Fit</t>
        </is>
      </c>
      <c r="B17" s="10">
        <f>IFERROR(IF(VLOOKUP($B$4,Data_RepoDetail!$A:$BZ,17,FALSE)="","No summary recorded yet.",VLOOKUP($B$4,Data_RepoDetail!$A:$BZ,17,FALSE)),"No summary recorded yet.")</f>
        <v/>
      </c>
      <c r="E17" s="2" t="inlineStr">
        <is>
          <t>Next Tier Gap</t>
        </is>
      </c>
      <c r="F17" s="10">
        <f>IFERROR(IF(VLOOKUP($B$4,Data_RepoDetail!$A:$BZ,21,FALSE)="","No briefing detail recorded yet.",VLOOKUP($B$4,Data_RepoDetail!$A:$BZ,21,FALSE)),"No briefing detail recorded yet.")</f>
        <v/>
      </c>
    </row>
    <row r="18">
      <c r="E18" s="2" t="inlineStr">
        <is>
          <t>Next Best Action</t>
        </is>
      </c>
      <c r="F18" s="10">
        <f>IFERROR(IF(VLOOKUP($B$4,Data_RepoDetail!$A:$BZ,22,FALSE)="","No briefing detail recorded yet.",VLOOKUP($B$4,Data_RepoDetail!$A:$BZ,22,FALSE)),"No briefing detail recorded yet.")</f>
        <v/>
      </c>
    </row>
    <row r="19">
      <c r="E19" s="2" t="inlineStr">
        <is>
          <t>Why This Action</t>
        </is>
      </c>
      <c r="F19" s="10">
        <f>IFERROR(IF(VLOOKUP($B$4,Data_RepoDetail!$A:$BZ,23,FALSE)="","No briefing detail recorded yet.",VLOOKUP($B$4,Data_RepoDetail!$A:$BZ,23,FALSE)),"No briefing detail recorded yet.")</f>
        <v/>
      </c>
    </row>
    <row r="20">
      <c r="A20" s="6" t="inlineStr">
        <is>
          <t>Dimension Breakdown</t>
        </is>
      </c>
      <c r="F20" s="6" t="inlineStr">
        <is>
          <t>What Changed</t>
        </is>
      </c>
    </row>
    <row r="21" ht="30" customHeight="1">
      <c r="A21" s="32" t="inlineStr">
        <is>
          <t>Rank</t>
        </is>
      </c>
      <c r="B21" s="32" t="inlineStr">
        <is>
          <t>Dimension</t>
        </is>
      </c>
      <c r="C21" s="32" t="inlineStr">
        <is>
          <t>Score</t>
        </is>
      </c>
      <c r="D21" s="32" t="inlineStr">
        <is>
          <t>Summary</t>
        </is>
      </c>
      <c r="F21" s="2" t="inlineStr">
        <is>
          <t>Hotspot 1</t>
        </is>
      </c>
      <c r="G21" s="10">
        <f>IFERROR(IF(VLOOKUP($B$4,Data_RepoDetail!$A:$BZ,24,FALSE)="","No hotspot recorded yet.",VLOOKUP($B$4,Data_RepoDetail!$A:$BZ,24,FALSE)),"No hotspot recorded yet.")</f>
        <v/>
      </c>
    </row>
    <row r="22">
      <c r="A22" s="30" t="n">
        <v>1</v>
      </c>
      <c r="B22" s="10">
        <f>IFERROR(VLOOKUP($B$4&amp;"::1",Data_RepoDimensionRollups!$A:$F,4,FALSE),"")</f>
        <v/>
      </c>
      <c r="C22" s="30">
        <f>IFERROR(VLOOKUP($B$4&amp;"::1",Data_RepoDimensionRollups!$A:$F,5,FALSE),"")</f>
        <v/>
      </c>
      <c r="D22" s="10">
        <f>IFERROR(VLOOKUP($B$4&amp;"::1",Data_RepoDimensionRollups!$A:$F,6,FALSE),"")</f>
        <v/>
      </c>
      <c r="F22" s="2" t="inlineStr">
        <is>
          <t>Hotspot 2</t>
        </is>
      </c>
      <c r="G22" s="10">
        <f>IFERROR(IF(VLOOKUP($B$4,Data_RepoDetail!$A:$BZ,25,FALSE)="","No hotspot recorded yet.",VLOOKUP($B$4,Data_RepoDetail!$A:$BZ,25,FALSE)),"No hotspot recorded yet.")</f>
        <v/>
      </c>
    </row>
    <row r="23">
      <c r="A23" s="30" t="n">
        <v>2</v>
      </c>
      <c r="B23" s="10">
        <f>IFERROR(VLOOKUP($B$4&amp;"::2",Data_RepoDimensionRollups!$A:$F,4,FALSE),"")</f>
        <v/>
      </c>
      <c r="C23" s="30">
        <f>IFERROR(VLOOKUP($B$4&amp;"::2",Data_RepoDimensionRollups!$A:$F,5,FALSE),"")</f>
        <v/>
      </c>
      <c r="D23" s="10">
        <f>IFERROR(VLOOKUP($B$4&amp;"::2",Data_RepoDimensionRollups!$A:$F,6,FALSE),"")</f>
        <v/>
      </c>
      <c r="F23" s="2" t="inlineStr">
        <is>
          <t>Hotspot 3</t>
        </is>
      </c>
      <c r="G23" s="10">
        <f>IFERROR(IF(VLOOKUP($B$4,Data_RepoDetail!$A:$BZ,26,FALSE)="","No hotspot recorded yet.",VLOOKUP($B$4,Data_RepoDetail!$A:$BZ,26,FALSE)),"No hotspot recorded yet.")</f>
        <v/>
      </c>
    </row>
    <row r="24">
      <c r="A24" s="30" t="n">
        <v>3</v>
      </c>
      <c r="B24" s="10">
        <f>IFERROR(VLOOKUP($B$4&amp;"::3",Data_RepoDimensionRollups!$A:$F,4,FALSE),"")</f>
        <v/>
      </c>
      <c r="C24" s="30">
        <f>IFERROR(VLOOKUP($B$4&amp;"::3",Data_RepoDimensionRollups!$A:$F,5,FALSE),"")</f>
        <v/>
      </c>
      <c r="D24" s="10">
        <f>IFERROR(VLOOKUP($B$4&amp;"::3",Data_RepoDimensionRollups!$A:$F,6,FALSE),"")</f>
        <v/>
      </c>
    </row>
    <row r="25">
      <c r="A25" s="30" t="n">
        <v>4</v>
      </c>
      <c r="B25" s="10">
        <f>IFERROR(VLOOKUP($B$4&amp;"::4",Data_RepoDimensionRollups!$A:$F,4,FALSE),"")</f>
        <v/>
      </c>
      <c r="C25" s="30">
        <f>IFERROR(VLOOKUP($B$4&amp;"::4",Data_RepoDimensionRollups!$A:$F,5,FALSE),"")</f>
        <v/>
      </c>
      <c r="D25" s="10">
        <f>IFERROR(VLOOKUP($B$4&amp;"::4",Data_RepoDimensionRollups!$A:$F,6,FALSE),"")</f>
        <v/>
      </c>
      <c r="F25" s="2" t="inlineStr">
        <is>
          <t>What To Do Next</t>
        </is>
      </c>
    </row>
    <row r="26">
      <c r="A26" s="30" t="n">
        <v>5</v>
      </c>
      <c r="B26" s="10">
        <f>IFERROR(VLOOKUP($B$4&amp;"::5",Data_RepoDimensionRollups!$A:$F,4,FALSE),"")</f>
        <v/>
      </c>
      <c r="C26" s="30">
        <f>IFERROR(VLOOKUP($B$4&amp;"::5",Data_RepoDimensionRollups!$A:$F,5,FALSE),"")</f>
        <v/>
      </c>
      <c r="D26" s="10">
        <f>IFERROR(VLOOKUP($B$4&amp;"::5",Data_RepoDimensionRollups!$A:$F,6,FALSE),"")</f>
        <v/>
      </c>
      <c r="F26" s="2" t="inlineStr">
        <is>
          <t>Recommended Action</t>
        </is>
      </c>
      <c r="G26" s="10">
        <f>IFERROR(IF(VLOOKUP($B$4,Data_RepoDetail!$A:$BZ,22,FALSE)="","No clear next action is recorded yet.",VLOOKUP($B$4,Data_RepoDetail!$A:$BZ,22,FALSE)),"No clear next action is recorded yet.")</f>
        <v/>
      </c>
    </row>
    <row r="27">
      <c r="A27" s="30" t="n">
        <v>6</v>
      </c>
      <c r="B27" s="10">
        <f>IFERROR(VLOOKUP($B$4&amp;"::6",Data_RepoDimensionRollups!$A:$F,4,FALSE),"")</f>
        <v/>
      </c>
      <c r="C27" s="30">
        <f>IFERROR(VLOOKUP($B$4&amp;"::6",Data_RepoDimensionRollups!$A:$F,5,FALSE),"")</f>
        <v/>
      </c>
      <c r="D27" s="10">
        <f>IFERROR(VLOOKUP($B$4&amp;"::6",Data_RepoDimensionRollups!$A:$F,6,FALSE),"")</f>
        <v/>
      </c>
      <c r="F27" s="2" t="inlineStr">
        <is>
          <t>Why This Action</t>
        </is>
      </c>
      <c r="G27" s="10">
        <f>IFERROR(IF(VLOOKUP($B$4,Data_RepoDetail!$A:$BZ,23,FALSE)="","No action rationale is recorded yet.",VLOOKUP($B$4,Data_RepoDetail!$A:$BZ,23,FALSE)),"No action rationale is recorded yet.")</f>
        <v/>
      </c>
    </row>
    <row r="28">
      <c r="A28" s="6" t="inlineStr">
        <is>
          <t>Where To Start</t>
        </is>
      </c>
      <c r="F28" s="2" t="inlineStr">
        <is>
          <t>Follow-Through Status</t>
        </is>
      </c>
      <c r="G28" s="10">
        <f>IFERROR(IF(VLOOKUP($B$4,Data_RepoDetail!$A:$BZ,32,FALSE)="","Unknown",VLOOKUP($B$4,Data_RepoDetail!$A:$BZ,32,FALSE)),"Unknown")</f>
        <v/>
      </c>
    </row>
    <row r="29">
      <c r="A29" s="2" t="inlineStr">
        <is>
          <t>Summary</t>
        </is>
      </c>
      <c r="B29" s="10">
        <f>IFERROR(IF(VLOOKUP($B$4,Data_RepoDetail!$A:$BZ,66,FALSE)="","No meaningful implementation hotspot is currently surfaced.",VLOOKUP($B$4,Data_RepoDetail!$A:$BZ,66,FALSE)),"No meaningful implementation hotspot is currently surfaced.")</f>
        <v/>
      </c>
      <c r="F29" s="2" t="inlineStr">
        <is>
          <t>Follow-Through Summary</t>
        </is>
      </c>
      <c r="G29" s="10">
        <f>IFERROR(IF(VLOOKUP($B$4,Data_RepoDetail!$A:$BZ,33,FALSE)="","No follow-through evidence is recorded yet.",VLOOKUP($B$4,Data_RepoDetail!$A:$BZ,33,FALSE)),"No follow-through evidence is recorded yet.")</f>
        <v/>
      </c>
    </row>
    <row r="30">
      <c r="A30" s="2" t="inlineStr">
        <is>
          <t>Implementation Hotspot 1</t>
        </is>
      </c>
      <c r="B30" s="10">
        <f>IFERROR(IF(VLOOKUP($B$4,Data_RepoDetail!$A:$BZ,67,FALSE)="","No implementation hotspot is currently surfaced.",VLOOKUP($B$4,Data_RepoDetail!$A:$BZ,67,FALSE)),"No implementation hotspot is currently surfaced.")</f>
        <v/>
      </c>
      <c r="F30" s="2" t="inlineStr">
        <is>
          <t>Checkpoint Timing</t>
        </is>
      </c>
      <c r="G30" s="10">
        <f>IFERROR(IF(VLOOKUP($B$4,Data_RepoDetail!$A:$BZ,34,FALSE)="","Unknown",VLOOKUP($B$4,Data_RepoDetail!$A:$BZ,34,FALSE)),"Unknown")</f>
        <v/>
      </c>
    </row>
    <row r="31">
      <c r="A31" s="2" t="inlineStr">
        <is>
          <t>Implementation Hotspot 2</t>
        </is>
      </c>
      <c r="B31" s="10">
        <f>IFERROR(IF(VLOOKUP($B$4,Data_RepoDetail!$A:$BZ,68,FALSE)="","No second implementation hotspot is currently surfaced.",VLOOKUP($B$4,Data_RepoDetail!$A:$BZ,68,FALSE)),"No second implementation hotspot is currently surfaced.")</f>
        <v/>
      </c>
      <c r="F31" s="2" t="inlineStr">
        <is>
          <t>Escalation</t>
        </is>
      </c>
      <c r="G31" s="10">
        <f>IFERROR(IF(VLOOKUP($B$4,Data_RepoDetail!$A:$BZ,35,FALSE)="","Unknown",VLOOKUP($B$4,Data_RepoDetail!$A:$BZ,35,FALSE)),"Unknown")</f>
        <v/>
      </c>
    </row>
    <row r="32">
      <c r="A32" s="2" t="inlineStr">
        <is>
          <t>Implementation Hotspot 3</t>
        </is>
      </c>
      <c r="B32" s="10">
        <f>IFERROR(IF(VLOOKUP($B$4,Data_RepoDetail!$A:$BZ,69,FALSE)="","No third implementation hotspot is currently surfaced.",VLOOKUP($B$4,Data_RepoDetail!$A:$BZ,69,FALSE)),"No third implementation hotspot is currently surfaced.")</f>
        <v/>
      </c>
      <c r="F32" s="2" t="inlineStr">
        <is>
          <t>Escalation Summary</t>
        </is>
      </c>
      <c r="G32" s="10">
        <f>IFERROR(IF(VLOOKUP($B$4,Data_RepoDetail!$A:$BZ,36,FALSE)="","No stronger follow-through escalation is currently surfaced.",VLOOKUP($B$4,Data_RepoDetail!$A:$BZ,36,FALSE)),"No stronger follow-through escalation is currently surfaced.")</f>
        <v/>
      </c>
    </row>
    <row r="33">
      <c r="F33" s="2" t="inlineStr">
        <is>
          <t>Recovery / Retirement</t>
        </is>
      </c>
      <c r="G33" s="10">
        <f>IFERROR(IF(VLOOKUP($B$4,Data_RepoDetail!$A:$BZ,37,FALSE)="","None",VLOOKUP($B$4,Data_RepoDetail!$A:$BZ,37,FALSE)),"None")</f>
        <v/>
      </c>
    </row>
    <row r="34">
      <c r="A34" s="6" t="inlineStr">
        <is>
          <t>Arc F Signals</t>
        </is>
      </c>
      <c r="F34" s="2" t="inlineStr">
        <is>
          <t>Recovery Summary</t>
        </is>
      </c>
      <c r="G34" s="10">
        <f>IFERROR(IF(VLOOKUP($B$4,Data_RepoDetail!$A:$BZ,38,FALSE)="","No follow-through recovery or escalation-retirement signal is currently surfaced.",VLOOKUP($B$4,Data_RepoDetail!$A:$BZ,38,FALSE)),"No follow-through recovery or escalation-retirement signal is currently surfaced.")</f>
        <v/>
      </c>
    </row>
    <row r="35">
      <c r="A35" s="2" t="inlineStr">
        <is>
          <t>README Stale</t>
        </is>
      </c>
      <c r="B35" s="10">
        <f>IFERROR(VLOOKUP($B$4,Data_RepoDetail!$A:$BZ,71,FALSE),"—")</f>
        <v/>
      </c>
      <c r="F35" s="2" t="inlineStr">
        <is>
          <t>Recovery Persistence</t>
        </is>
      </c>
      <c r="G35" s="10">
        <f>IFERROR(IF(VLOOKUP($B$4,Data_RepoDetail!$A:$BZ,39,FALSE)="","None",VLOOKUP($B$4,Data_RepoDetail!$A:$BZ,39,FALSE)),"None")</f>
        <v/>
      </c>
    </row>
    <row r="36">
      <c r="A36" s="2" t="inlineStr">
        <is>
          <t>Staleness Ratio</t>
        </is>
      </c>
      <c r="B36" s="10">
        <f>IFERROR(VLOOKUP($B$4,Data_RepoDetail!$A:$BZ,72,FALSE),"—")</f>
        <v/>
      </c>
      <c r="F36" s="2" t="inlineStr">
        <is>
          <t>Recovery Persistence Summary</t>
        </is>
      </c>
      <c r="G36" s="10">
        <f>IFERROR(IF(VLOOKUP($B$4,Data_RepoDetail!$A:$BZ,40,FALSE)="","No follow-through recovery persistence signal is currently surfaced.",VLOOKUP($B$4,Data_RepoDetail!$A:$BZ,40,FALSE)),"No follow-through recovery persistence signal is currently surfaced.")</f>
        <v/>
      </c>
    </row>
    <row r="37">
      <c r="A37" s="2" t="inlineStr">
        <is>
          <t>README Last Touched (days)</t>
        </is>
      </c>
      <c r="B37" s="10">
        <f>IFERROR(VLOOKUP($B$4,Data_RepoDetail!$A:$BZ,73,FALSE),"—")</f>
        <v/>
      </c>
      <c r="F37" s="2" t="inlineStr">
        <is>
          <t>Relapse Churn</t>
        </is>
      </c>
      <c r="G37" s="10">
        <f>IFERROR(IF(VLOOKUP($B$4,Data_RepoDetail!$A:$BZ,41,FALSE)="","None",VLOOKUP($B$4,Data_RepoDetail!$A:$BZ,41,FALSE)),"None")</f>
        <v/>
      </c>
    </row>
    <row r="38">
      <c r="A38" s="2" t="inlineStr">
        <is>
          <t>Code Last Touched (days)</t>
        </is>
      </c>
      <c r="B38" s="10">
        <f>IFERROR(VLOOKUP($B$4,Data_RepoDetail!$A:$BZ,74,FALSE),"—")</f>
        <v/>
      </c>
      <c r="F38" s="2" t="inlineStr">
        <is>
          <t>Relapse Churn Summary</t>
        </is>
      </c>
      <c r="G38" s="10">
        <f>IFERROR(IF(VLOOKUP($B$4,Data_RepoDetail!$A:$BZ,42,FALSE)="","No relapse churn is currently surfaced.",VLOOKUP($B$4,Data_RepoDetail!$A:$BZ,42,FALSE)),"No relapse churn is currently surfaced.")</f>
        <v/>
      </c>
    </row>
    <row r="39">
      <c r="A39" s="2" t="inlineStr">
        <is>
          <t>Has Any Release</t>
        </is>
      </c>
      <c r="B39" s="10">
        <f>IFERROR(VLOOKUP($B$4,Data_RepoDetail!$A:$BZ,75,FALSE),"No")</f>
        <v/>
      </c>
      <c r="F39" s="2" t="inlineStr">
        <is>
          <t>Recovery Freshness</t>
        </is>
      </c>
      <c r="G39" s="10">
        <f>IFERROR(IF(VLOOKUP($B$4,Data_RepoDetail!$A:$BZ,43,FALSE)="","None",VLOOKUP($B$4,Data_RepoDetail!$A:$BZ,43,FALSE)),"None")</f>
        <v/>
      </c>
    </row>
    <row r="40">
      <c r="A40" s="2" t="inlineStr">
        <is>
          <t>Latest Release Age (days)</t>
        </is>
      </c>
      <c r="B40" s="10">
        <f>IFERROR(VLOOKUP($B$4,Data_RepoDetail!$A:$BZ,76,FALSE),"—")</f>
        <v/>
      </c>
      <c r="F40" s="2" t="inlineStr">
        <is>
          <t>Recovery Freshness Summary</t>
        </is>
      </c>
      <c r="G40" s="10">
        <f>IFERROR(IF(VLOOKUP($B$4,Data_RepoDetail!$A:$BZ,44,FALSE)="","No follow-through recovery freshness signal is currently surfaced.",VLOOKUP($B$4,Data_RepoDetail!$A:$BZ,44,FALSE)),"No follow-through recovery freshness signal is currently surfaced.")</f>
        <v/>
      </c>
    </row>
    <row r="41">
      <c r="A41" s="2" t="inlineStr">
        <is>
          <t>OSSF Score</t>
        </is>
      </c>
      <c r="B41" s="10">
        <f>IFERROR(VLOOKUP($B$4,Data_RepoDetail!$A:$BZ,77,FALSE),"—")</f>
        <v/>
      </c>
      <c r="F41" s="2" t="inlineStr">
        <is>
          <t>Recovery Memory Reset</t>
        </is>
      </c>
      <c r="G41" s="10">
        <f>IFERROR(IF(VLOOKUP($B$4,Data_RepoDetail!$A:$BZ,45,FALSE)="","None",VLOOKUP($B$4,Data_RepoDetail!$A:$BZ,45,FALSE)),"None")</f>
        <v/>
      </c>
    </row>
    <row r="42">
      <c r="A42" s="2" t="inlineStr">
        <is>
          <t>OSSF Top Failing Checks</t>
        </is>
      </c>
      <c r="B42" s="10">
        <f>IFERROR(VLOOKUP($B$4,Data_RepoDetail!$A:$BZ,78,FALSE),"—")</f>
        <v/>
      </c>
      <c r="F42" s="2" t="inlineStr">
        <is>
          <t>Recovery Memory Reset Summary</t>
        </is>
      </c>
      <c r="G42" s="10">
        <f>IFERROR(IF(VLOOKUP($B$4,Data_RepoDetail!$A:$BZ,46,FALSE)="","No follow-through recovery memory reset signal is currently surfaced.",VLOOKUP($B$4,Data_RepoDetail!$A:$BZ,46,FALSE)),"No follow-through recovery memory reset signal is currently surfaced.")</f>
        <v/>
      </c>
    </row>
    <row r="43">
      <c r="A43" s="6" t="inlineStr">
        <is>
          <t>Risk Posture</t>
        </is>
      </c>
      <c r="F43" s="2" t="inlineStr">
        <is>
          <t>Recovery Rebuild Strength</t>
        </is>
      </c>
      <c r="G43" s="10">
        <f>IFERROR(IF(VLOOKUP($B$4,Data_RepoDetail!$A:$BZ,47,FALSE)="","None",VLOOKUP($B$4,Data_RepoDetail!$A:$BZ,47,FALSE)),"None")</f>
        <v/>
      </c>
    </row>
    <row r="44">
      <c r="A44" s="2" t="inlineStr">
        <is>
          <t>Risk Tier</t>
        </is>
      </c>
      <c r="B44" s="10">
        <f>IFERROR(VLOOKUP($B$4,Data_RepoDetail!$A:$BZ,79,FALSE),"—")</f>
        <v/>
      </c>
      <c r="F44" s="2" t="inlineStr">
        <is>
          <t>Recovery Rebuild Strength Summary</t>
        </is>
      </c>
      <c r="G44" s="10">
        <f>IFERROR(IF(VLOOKUP($B$4,Data_RepoDetail!$A:$BZ,48,FALSE)="","No follow-through recovery rebuild-strength signal is currently surfaced.",VLOOKUP($B$4,Data_RepoDetail!$A:$BZ,48,FALSE)),"No follow-through recovery rebuild-strength signal is currently surfaced.")</f>
        <v/>
      </c>
    </row>
    <row r="45">
      <c r="F45" s="2" t="inlineStr">
        <is>
          <t>Recovery Reacquisition</t>
        </is>
      </c>
      <c r="G45" s="10">
        <f>IFERROR(IF(VLOOKUP($B$4,Data_RepoDetail!$A:$BZ,49,FALSE)="","None",VLOOKUP($B$4,Data_RepoDetail!$A:$BZ,49,FALSE)),"None")</f>
        <v/>
      </c>
    </row>
    <row r="46">
      <c r="F46" s="2" t="inlineStr">
        <is>
          <t>Recovery Reacquisition Summary</t>
        </is>
      </c>
      <c r="G46" s="10">
        <f>IFERROR(IF(VLOOKUP($B$4,Data_RepoDetail!$A:$BZ,50,FALSE)="","No follow-through recovery reacquisition signal is currently surfaced.",VLOOKUP($B$4,Data_RepoDetail!$A:$BZ,50,FALSE)),"No follow-through recovery reacquisition signal is currently surfaced.")</f>
        <v/>
      </c>
    </row>
    <row r="47">
      <c r="F47" s="2" t="inlineStr">
        <is>
          <t>Reacquisition Durability</t>
        </is>
      </c>
      <c r="G47" s="10">
        <f>IFERROR(IF(VLOOKUP($B$4,Data_RepoDetail!$A:$BZ,51,FALSE)="","None",VLOOKUP($B$4,Data_RepoDetail!$A:$BZ,51,FALSE)),"None")</f>
        <v/>
      </c>
    </row>
    <row r="48">
      <c r="F48" s="2" t="inlineStr">
        <is>
          <t>Reacquisition Durability Summary</t>
        </is>
      </c>
      <c r="G48" s="10">
        <f>IFERROR(IF(VLOOKUP($B$4,Data_RepoDetail!$A:$BZ,52,FALSE)="","No follow-through reacquisition durability signal is currently surfaced.",VLOOKUP($B$4,Data_RepoDetail!$A:$BZ,52,FALSE)),"No follow-through reacquisition durability signal is currently surfaced.")</f>
        <v/>
      </c>
    </row>
    <row r="49">
      <c r="F49" s="2" t="inlineStr">
        <is>
          <t>Reacquisition Confidence</t>
        </is>
      </c>
      <c r="G49" s="10">
        <f>IFERROR(IF(VLOOKUP($B$4,Data_RepoDetail!$A:$BZ,53,FALSE)="","None",VLOOKUP($B$4,Data_RepoDetail!$A:$BZ,53,FALSE)),"None")</f>
        <v/>
      </c>
    </row>
    <row r="50">
      <c r="F50" s="2" t="inlineStr">
        <is>
          <t>Reacquisition Confidence Summary</t>
        </is>
      </c>
      <c r="G50" s="10">
        <f>IFERROR(IF(VLOOKUP($B$4,Data_RepoDetail!$A:$BZ,54,FALSE)="","No follow-through reacquisition confidence-consolidation signal is currently surfaced.",VLOOKUP($B$4,Data_RepoDetail!$A:$BZ,54,FALSE)),"No follow-through reacquisition confidence-consolidation signal is currently surfaced.")</f>
        <v/>
      </c>
    </row>
    <row r="51">
      <c r="F51" s="2" t="inlineStr">
        <is>
          <t>Reacquisition Softening Decay</t>
        </is>
      </c>
      <c r="G51" s="10">
        <f>IFERROR(IF(VLOOKUP($B$4,Data_RepoDetail!$A:$BZ,55,FALSE)="","None",VLOOKUP($B$4,Data_RepoDetail!$A:$BZ,55,FALSE)),"None")</f>
        <v/>
      </c>
    </row>
    <row r="52">
      <c r="F52" s="2" t="inlineStr">
        <is>
          <t>Reacquisition Softening Decay Summary</t>
        </is>
      </c>
      <c r="G52" s="10">
        <f>IFERROR(IF(VLOOKUP($B$4,Data_RepoDetail!$A:$BZ,56,FALSE)="","No reacquisition softening-decay signal is currently surfaced.",VLOOKUP($B$4,Data_RepoDetail!$A:$BZ,56,FALSE)),"No reacquisition softening-decay signal is currently surfaced.")</f>
        <v/>
      </c>
    </row>
    <row r="53">
      <c r="F53" s="2" t="inlineStr">
        <is>
          <t>Reacquisition Confidence Retirement</t>
        </is>
      </c>
      <c r="G53" s="10">
        <f>IFERROR(IF(VLOOKUP($B$4,Data_RepoDetail!$A:$BZ,57,FALSE)="","None",VLOOKUP($B$4,Data_RepoDetail!$A:$BZ,57,FALSE)),"None")</f>
        <v/>
      </c>
    </row>
    <row r="54">
      <c r="F54" s="2" t="inlineStr">
        <is>
          <t>Reacquisition Confidence Retirement Summary</t>
        </is>
      </c>
      <c r="G54" s="10">
        <f>IFERROR(IF(VLOOKUP($B$4,Data_RepoDetail!$A:$BZ,58,FALSE)="","No reacquisition confidence-retirement signal is currently surfaced.",VLOOKUP($B$4,Data_RepoDetail!$A:$BZ,58,FALSE)),"No reacquisition confidence-retirement signal is currently surfaced.")</f>
        <v/>
      </c>
    </row>
    <row r="55">
      <c r="F55" s="2" t="inlineStr">
        <is>
          <t>Revalidation Recovery</t>
        </is>
      </c>
      <c r="G55" s="10">
        <f>IFERROR(IF(VLOOKUP($B$4,Data_RepoDetail!$A:$BZ,59,FALSE)="","None",VLOOKUP($B$4,Data_RepoDetail!$A:$BZ,59,FALSE)),"None")</f>
        <v/>
      </c>
    </row>
    <row r="56">
      <c r="F56" s="2" t="inlineStr">
        <is>
          <t>Revalidation Recovery Summary</t>
        </is>
      </c>
      <c r="G56" s="10">
        <f>IFERROR(IF(VLOOKUP($B$4,Data_RepoDetail!$A:$BZ,60,FALSE)="","No post-revalidation recovery or confidence re-earning signal is currently surfaced.",VLOOKUP($B$4,Data_RepoDetail!$A:$BZ,60,FALSE)),"No post-revalidation recovery or confidence re-earning signal is currently surfaced.")</f>
        <v/>
      </c>
    </row>
    <row r="57">
      <c r="F57" s="2" t="inlineStr">
        <is>
          <t>Progress Checkpoint</t>
        </is>
      </c>
      <c r="G57" s="10">
        <f>IFERROR(IF(VLOOKUP($B$4,Data_RepoDetail!$A:$BZ,61,FALSE)="","Use the next run or linked artifact to confirm whether the recommendation moved.",VLOOKUP($B$4,Data_RepoDetail!$A:$BZ,61,FALSE)),"Use the next run or linked artifact to confirm whether the recommendation moved.")</f>
        <v/>
      </c>
    </row>
    <row r="58">
      <c r="F58" s="2" t="inlineStr">
        <is>
          <t>Portfolio Catalog</t>
        </is>
      </c>
      <c r="G58" s="10">
        <f>IFERROR(IF(VLOOKUP($B$4,Data_RepoDetail!$A:$BZ,62,FALSE)="","No portfolio catalog contract is recorded yet.",VLOOKUP($B$4,Data_RepoDetail!$A:$BZ,62,FALSE)),"No portfolio catalog contract is recorded yet.")</f>
        <v/>
      </c>
    </row>
    <row r="59">
      <c r="F59" s="2" t="inlineStr">
        <is>
          <t>Operating Path</t>
        </is>
      </c>
      <c r="G59" s="10">
        <f>IFERROR(IF(VLOOKUP($B$4,Data_RepoDetail!$A:$BZ,66,FALSE)="","Operating Path: Unspecified (legacy confidence) — No operating-path rationale is recorded yet.",VLOOKUP($B$4,Data_RepoDetail!$A:$BZ,66,FALSE)),"Operating Path: Unspecified (legacy confidence) — No operating-path rationale is recorded yet.")</f>
        <v/>
      </c>
    </row>
    <row r="60">
      <c r="F60" s="2" t="inlineStr">
        <is>
          <t>Intent Alignment</t>
        </is>
      </c>
      <c r="G60" s="10">
        <f>IFERROR(IF(VLOOKUP($B$4,Data_RepoDetail!$A:$BZ,63,FALSE)="","missing-contract: Intent alignment cannot be judged until a portfolio catalog contract exists.",VLOOKUP($B$4,Data_RepoDetail!$A:$BZ,63,FALSE)),"missing-contract: Intent alignment cannot be judged until a portfolio catalog contract exists.")</f>
        <v/>
      </c>
    </row>
    <row r="61">
      <c r="F61" s="2" t="inlineStr">
        <is>
          <t>Scorecard</t>
        </is>
      </c>
      <c r="G61" s="10">
        <f>IFERROR(IF(VLOOKUP($B$4,Data_RepoDetail!$A:$BZ,64,FALSE)="","Scorecard: No maturity scorecard is recorded yet.",VLOOKUP($B$4,Data_RepoDetail!$A:$BZ,64,FALSE)),"Scorecard: No maturity scorecard is recorded yet.")</f>
        <v/>
      </c>
    </row>
    <row r="62">
      <c r="F62" s="2" t="inlineStr">
        <is>
          <t>Maturity Gap</t>
        </is>
      </c>
      <c r="G62" s="10">
        <f>IFERROR(IF(VLOOKUP($B$4,Data_RepoDetail!$A:$BZ,65,FALSE)="","No maturity gap summary is recorded yet.",VLOOKUP($B$4,Data_RepoDetail!$A:$BZ,65,FALSE)),"No maturity gap summary is recorded yet.")</f>
        <v/>
      </c>
    </row>
    <row r="63">
      <c r="F63" s="2" t="inlineStr">
        <is>
          <t>Action Candidate 2</t>
        </is>
      </c>
      <c r="G63" s="10">
        <f>IFERROR(IF(VLOOKUP($B$4,Data_RepoDetail!$A:$BZ,28,FALSE)="","No second action candidate recorded yet.",VLOOKUP($B$4,Data_RepoDetail!$A:$BZ,28,FALSE)),"No second action candidate recorded yet.")</f>
        <v/>
      </c>
    </row>
    <row r="64">
      <c r="F64" s="2" t="inlineStr">
        <is>
          <t>Action Candidate 3</t>
        </is>
      </c>
      <c r="G64" s="10">
        <f>IFERROR(IF(VLOOKUP($B$4,Data_RepoDetail!$A:$BZ,29,FALSE)="","No third action candidate recorded yet.",VLOOKUP($B$4,Data_RepoDetail!$A:$BZ,29,FALSE)),"No third action candidate recorded yet.")</f>
        <v/>
      </c>
    </row>
    <row r="65">
      <c r="A65" t="inlineStr">
        <is>
          <t>Use Score Explainer</t>
        </is>
      </c>
      <c r="B65" s="46" t="inlineStr">
        <is>
          <t>'Score Explainer'!A1</t>
        </is>
      </c>
      <c r="D65" t="inlineStr">
        <is>
          <t>Go To Explorer</t>
        </is>
      </c>
      <c r="E65" s="46" t="inlineStr">
        <is>
          <t>'Portfolio Explorer'!A1</t>
        </is>
      </c>
      <c r="F65" t="inlineStr">
        <is>
          <t>Go To Queue</t>
        </is>
      </c>
      <c r="G65" s="46" t="inlineStr">
        <is>
          <t>'Review Queue'!A1</t>
        </is>
      </c>
    </row>
  </sheetData>
  <mergeCells count="4">
    <mergeCell ref="A1:J1"/>
    <mergeCell ref="A3:H3"/>
    <mergeCell ref="B11:H11"/>
    <mergeCell ref="A2:J2"/>
  </mergeCells>
  <dataValidations count="1">
    <dataValidation sqref="B4" showDropDown="0" showInputMessage="0" showErrorMessage="0" allowBlank="0" promptTitle="Repo Detail" prompt="Choose a repo to refresh this briefing page." type="list">
      <formula1>=Data_RepoDetail!$A$2:$A$4</formula1>
    </dataValidation>
  </dataValidations>
  <hyperlinks>
    <hyperlink ref="L2" location="Dashboard!A1" display="Dashboard"/>
    <hyperlink ref="L3" location="'Review Queue'!A1" display="Review Queue"/>
    <hyperlink ref="L5" location="'Run Changes'!A1" display="Run Changes"/>
    <hyperlink ref="L6" location="'Executive Summary'!A1" display="Executive Summary"/>
    <hyperlink ref="B65" location="'Score Explainer'!A1" display="Open Score Explainer"/>
    <hyperlink ref="E65" location="'Portfolio Explorer'!A1" display="Open Explorer"/>
    <hyperlink ref="G65" location="'Review Queue'!A1" display="Open Review Queue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2A4A"/>
    <outlinePr summaryBelow="1" summaryRight="1"/>
    <pageSetUpPr/>
  </sheetPr>
  <dimension ref="A1:N95"/>
  <sheetViews>
    <sheetView showGridLines="0" zoomScale="12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3" customWidth="1" min="3" max="3"/>
    <col width="55" customWidth="1" min="4" max="4"/>
    <col width="55" customWidth="1" min="5" max="5"/>
    <col width="8" customWidth="1" min="6" max="6"/>
  </cols>
  <sheetData>
    <row r="1">
      <c r="A1" s="1" t="inlineStr">
        <is>
          <t>Executive Summary</t>
        </is>
      </c>
      <c r="N1" s="2" t="inlineStr">
        <is>
          <t>Quick Links</t>
        </is>
      </c>
    </row>
    <row r="2">
      <c r="A2" s="7" t="inlineStr">
        <is>
          <t>Profile: default | Collection: all</t>
        </is>
      </c>
      <c r="N2" s="4" t="inlineStr">
        <is>
          <t>Dashboard</t>
        </is>
      </c>
    </row>
    <row r="3">
      <c r="A3" s="5" t="inlineStr">
        <is>
          <t>Use the left side for the short leadership story and the right side for operator evidence you may need to defend the next move.</t>
        </is>
      </c>
      <c r="N3" s="4" t="inlineStr">
        <is>
          <t>Review Queue</t>
        </is>
      </c>
    </row>
    <row r="4">
      <c r="A4" s="6" t="inlineStr">
        <is>
          <t>Leadership Brief</t>
        </is>
      </c>
      <c r="N4" s="4" t="inlineStr">
        <is>
          <t>Repo Detail</t>
        </is>
      </c>
    </row>
    <row r="5">
      <c r="A5" s="2" t="inlineStr">
        <is>
          <t>Portfolio Health</t>
        </is>
      </c>
      <c r="B5" s="10" t="inlineStr">
        <is>
          <t>1 repos are shipped, the portfolio average is 0.65, and RepoA set the current high-water mark.</t>
        </is>
      </c>
      <c r="N5" s="4" t="inlineStr">
        <is>
          <t>Run Changes</t>
        </is>
      </c>
    </row>
    <row r="6">
      <c r="A6" s="2" t="inlineStr">
        <is>
          <t>Top Attention</t>
        </is>
      </c>
      <c r="B6" s="10" t="inlineStr">
        <is>
          <t>RepoC still needs security follow-through before the queue will calm down. Critical security pressure is concentrated in 1 repos.</t>
        </is>
      </c>
      <c r="N6" s="12" t="inlineStr">
        <is>
          <t>Executive Summary</t>
        </is>
      </c>
    </row>
    <row r="7">
      <c r="A7" s="2" t="inlineStr">
        <is>
          <t>Run Changes</t>
        </is>
      </c>
      <c r="B7" s="10" t="inlineStr">
        <is>
          <t>Average score moved +0.020; 0 meaningful improvements, 0 regressions, 1 promotions, and 1 demotions were recorded.</t>
        </is>
      </c>
    </row>
    <row r="8">
      <c r="A8" s="2" t="inlineStr">
        <is>
          <t>Queue Pressure</t>
        </is>
      </c>
      <c r="B8" s="10" t="inlineStr">
        <is>
          <t>1 blocked, 1 urgent, 1 ready, and 1 deferred item(s) are currently in the queue.</t>
        </is>
      </c>
    </row>
    <row r="9">
      <c r="A9" s="2" t="inlineStr">
        <is>
          <t>What Changed</t>
        </is>
      </c>
      <c r="B9" s="10" t="inlineStr">
        <is>
          <t>RepoC drift needs review and RepoB reopened a release checklist item.</t>
        </is>
      </c>
    </row>
    <row r="10">
      <c r="A10" s="14" t="inlineStr">
        <is>
          <t>Portfolio Grade</t>
        </is>
      </c>
      <c r="B10" s="15" t="n"/>
      <c r="C10" s="14" t="inlineStr">
        <is>
          <t>Avg Score</t>
        </is>
      </c>
      <c r="D10" s="15" t="n"/>
      <c r="E10" s="14" t="inlineStr">
        <is>
          <t>Critical Repos</t>
        </is>
      </c>
      <c r="F10" s="15" t="n"/>
      <c r="G10" s="14" t="inlineStr">
        <is>
          <t>Improving</t>
        </is>
      </c>
      <c r="H10" s="15" t="n"/>
      <c r="I10" s="14" t="inlineStr">
        <is>
          <t>Regressing</t>
        </is>
      </c>
      <c r="J10" s="15" t="n"/>
    </row>
    <row r="11">
      <c r="A11" s="17" t="inlineStr">
        <is>
          <t>B</t>
        </is>
      </c>
      <c r="B11" s="15" t="n"/>
      <c r="C11" s="17" t="inlineStr">
        <is>
          <t>0.65</t>
        </is>
      </c>
      <c r="D11" s="15" t="n"/>
      <c r="E11" s="17" t="n">
        <v>1</v>
      </c>
      <c r="F11" s="15" t="n"/>
      <c r="G11" s="17" t="n">
        <v>0</v>
      </c>
      <c r="H11" s="15" t="n"/>
      <c r="I11" s="21" t="n">
        <v>0</v>
      </c>
      <c r="J11" s="15" t="n"/>
    </row>
    <row r="12">
      <c r="A12" s="2" t="inlineStr">
        <is>
          <t>Follow-Through Hotspot</t>
        </is>
      </c>
      <c r="B12" s="10" t="inlineStr">
        <is>
          <t>No outstanding follow-through hotspot</t>
        </is>
      </c>
    </row>
    <row r="13">
      <c r="A13" s="2" t="inlineStr">
        <is>
          <t>Escalation Hotspot</t>
        </is>
      </c>
      <c r="B13" s="10" t="inlineStr">
        <is>
          <t>No outstanding follow-through hotspot</t>
        </is>
      </c>
    </row>
    <row r="14">
      <c r="A14" s="6" t="inlineStr">
        <is>
          <t>Top Profile Leaders</t>
        </is>
      </c>
      <c r="B14" s="10" t="inlineStr">
        <is>
          <t>No active recovery or retirement hotspot</t>
        </is>
      </c>
      <c r="E14" s="6" t="inlineStr">
        <is>
          <t>Top Movers</t>
        </is>
      </c>
      <c r="I14" s="6" t="inlineStr">
        <is>
          <t>Top 5 Attention Items</t>
        </is>
      </c>
    </row>
    <row r="15" ht="24" customHeight="1">
      <c r="A15" s="8" t="inlineStr">
        <is>
          <t>Repo</t>
        </is>
      </c>
      <c r="B15" s="47" t="inlineStr">
        <is>
          <t>Profile Score</t>
        </is>
      </c>
      <c r="C15" s="8" t="inlineStr">
        <is>
          <t>Tier</t>
        </is>
      </c>
      <c r="E15" s="8" t="inlineStr">
        <is>
          <t>Repo</t>
        </is>
      </c>
      <c r="F15" s="8" t="inlineStr">
        <is>
          <t>Delta</t>
        </is>
      </c>
      <c r="G15" s="8" t="inlineStr">
        <is>
          <t>Tier Change</t>
        </is>
      </c>
      <c r="I15" s="8" t="inlineStr">
        <is>
          <t>Repo</t>
        </is>
      </c>
      <c r="J15" s="8" t="inlineStr">
        <is>
          <t>Counts</t>
        </is>
      </c>
      <c r="K15" s="8" t="inlineStr">
        <is>
          <t>Why Now</t>
        </is>
      </c>
      <c r="L15" s="8" t="inlineStr">
        <is>
          <t>Next Step</t>
        </is>
      </c>
    </row>
    <row r="16">
      <c r="A16" s="28" t="inlineStr">
        <is>
          <t>RepoA</t>
        </is>
      </c>
      <c r="B16" s="29" t="n">
        <v>0.88</v>
      </c>
      <c r="C16" s="28" t="inlineStr">
        <is>
          <t>shipped</t>
        </is>
      </c>
      <c r="D16" s="27" t="n"/>
      <c r="E16" s="28" t="inlineStr">
        <is>
          <t>RepoA</t>
        </is>
      </c>
      <c r="F16" s="29" t="n">
        <v>0.09</v>
      </c>
      <c r="G16" s="28" t="inlineStr">
        <is>
          <t>functional -&gt; shipped</t>
        </is>
      </c>
      <c r="H16" s="27" t="n"/>
      <c r="I16" s="28" t="inlineStr">
        <is>
          <t>RepoC</t>
        </is>
      </c>
      <c r="J16" s="28" t="inlineStr">
        <is>
          <t>B1/U0/R0</t>
        </is>
      </c>
      <c r="K16" s="28" t="inlineStr">
        <is>
          <t>Security drift needs review</t>
        </is>
      </c>
      <c r="L16" s="28" t="inlineStr">
        <is>
          <t>Open the governed control preview and decide whether to apply CodeQL.</t>
        </is>
      </c>
    </row>
    <row r="17">
      <c r="A17" s="10" t="inlineStr">
        <is>
          <t>RepoB</t>
        </is>
      </c>
      <c r="B17" s="30" t="n">
        <v>0.62</v>
      </c>
      <c r="C17" s="10" t="inlineStr">
        <is>
          <t>functional</t>
        </is>
      </c>
      <c r="E17" s="10" t="inlineStr">
        <is>
          <t>RepoC</t>
        </is>
      </c>
      <c r="F17" s="30" t="n">
        <v>-0.08</v>
      </c>
      <c r="G17" s="10" t="inlineStr">
        <is>
          <t>functional -&gt; wip</t>
        </is>
      </c>
      <c r="I17" s="10" t="inlineStr">
        <is>
          <t>RepoB</t>
        </is>
      </c>
      <c r="J17" s="10" t="inlineStr">
        <is>
          <t>B0/U1/R0</t>
        </is>
      </c>
      <c r="K17" s="10" t="inlineStr">
        <is>
          <t>Release checklist reopened</t>
        </is>
      </c>
      <c r="L17" s="10" t="inlineStr">
        <is>
          <t>Re-run the release checklist and close the missing item.</t>
        </is>
      </c>
    </row>
    <row r="18">
      <c r="A18" s="28" t="inlineStr">
        <is>
          <t>RepoC</t>
        </is>
      </c>
      <c r="B18" s="29" t="n">
        <v>0.44</v>
      </c>
      <c r="C18" s="28" t="inlineStr">
        <is>
          <t>wip</t>
        </is>
      </c>
      <c r="D18" s="27" t="n"/>
      <c r="E18" s="27" t="n"/>
      <c r="F18" s="27" t="n"/>
      <c r="G18" s="27" t="n"/>
      <c r="H18" s="27" t="n"/>
      <c r="I18" s="28" t="inlineStr">
        <is>
          <t>RepoA</t>
        </is>
      </c>
      <c r="J18" s="28" t="inlineStr">
        <is>
          <t>B0/U0/R1</t>
        </is>
      </c>
      <c r="K18" s="28" t="inlineStr">
        <is>
          <t>Archive old brainstorm notes</t>
        </is>
      </c>
      <c r="L18" s="28" t="inlineStr">
        <is>
          <t>Leave this alone unless priorities change.</t>
        </is>
      </c>
    </row>
    <row r="19">
      <c r="A19" s="2" t="inlineStr">
        <is>
          <t>Rebuild Hotspot</t>
        </is>
      </c>
      <c r="B19" s="10" t="inlineStr">
        <is>
          <t>No rebuilding recovery-memory hotspot</t>
        </is>
      </c>
    </row>
    <row r="20">
      <c r="A20" s="2" t="inlineStr">
        <is>
          <t>Rebuild Strength Hotspot</t>
        </is>
      </c>
      <c r="B20" s="10" t="inlineStr">
        <is>
          <t>No rebuilding-after-reset hotspot</t>
        </is>
      </c>
    </row>
    <row r="21">
      <c r="A21" s="2" t="inlineStr">
        <is>
          <t>Reacquiring Hotspot</t>
        </is>
      </c>
      <c r="B21" s="10" t="inlineStr">
        <is>
          <t>No near-reacquisition hotspot</t>
        </is>
      </c>
    </row>
    <row r="22">
      <c r="A22" s="6" t="inlineStr">
        <is>
          <t>Scenario Preview</t>
        </is>
      </c>
      <c r="B22" s="10" t="inlineStr">
        <is>
          <t>No re-acquired hotspot</t>
        </is>
      </c>
      <c r="D22" s="6" t="inlineStr">
        <is>
          <t>Operator Control Center</t>
        </is>
      </c>
    </row>
    <row r="23">
      <c r="A23" s="2" t="inlineStr">
        <is>
          <t>Projected Avg Score Delta</t>
        </is>
      </c>
      <c r="B23" s="10" t="n">
        <v>0</v>
      </c>
      <c r="D23" s="2" t="inlineStr">
        <is>
          <t>Headline</t>
        </is>
      </c>
      <c r="E23" t="inlineStr">
        <is>
          <t>RepoC still needs security follow-through before the queue will calm down.</t>
        </is>
      </c>
    </row>
    <row r="24">
      <c r="A24" s="2" t="inlineStr">
        <is>
          <t>Projected Promotions</t>
        </is>
      </c>
      <c r="B24" s="10" t="n">
        <v>0</v>
      </c>
      <c r="D24" s="2" t="inlineStr">
        <is>
          <t>Queue Counts</t>
        </is>
      </c>
      <c r="E24" t="inlineStr">
        <is>
          <t>1 blocked, 1 urgent, 1 ready, 1 deferred</t>
        </is>
      </c>
    </row>
    <row r="25">
      <c r="A25" s="2" t="inlineStr">
        <is>
          <t>Holding Reacquired Hotspot</t>
        </is>
      </c>
      <c r="B25" s="10" t="inlineStr">
        <is>
          <t>No holding re-acquisition hotspot</t>
        </is>
      </c>
      <c r="D25" s="2" t="inlineStr">
        <is>
          <t>Source Run</t>
        </is>
      </c>
      <c r="E25" t="inlineStr">
        <is>
          <t>sample-user:2026-04-12T12:00:00+00:00</t>
        </is>
      </c>
    </row>
    <row r="26">
      <c r="A26" s="2" t="inlineStr">
        <is>
          <t>Durable Reacquired Hotspot</t>
        </is>
      </c>
      <c r="B26" s="10" t="inlineStr">
        <is>
          <t>No durable re-acquisition hotspot</t>
        </is>
      </c>
      <c r="D26" s="2" t="inlineStr">
        <is>
          <t>Next Run</t>
        </is>
      </c>
      <c r="E26" t="inlineStr">
        <is>
          <t>incremental via adaptive</t>
        </is>
      </c>
    </row>
    <row r="27">
      <c r="A27" s="2" t="inlineStr">
        <is>
          <t>Softening Reacquired Hotspot</t>
        </is>
      </c>
      <c r="B27" s="10" t="inlineStr">
        <is>
          <t>No softening re-acquisition hotspot</t>
        </is>
      </c>
      <c r="D27" s="2" t="inlineStr">
        <is>
          <t>Watch Decision</t>
        </is>
      </c>
      <c r="E27" t="inlineStr">
        <is>
          <t>The current baseline is still compatible, so incremental watch remains safe for the next run.</t>
        </is>
      </c>
    </row>
    <row r="28">
      <c r="A28" s="2" t="inlineStr">
        <is>
          <t>Fragile Reacquisition Confidence Hotspot</t>
        </is>
      </c>
      <c r="B28" s="10" t="inlineStr">
        <is>
          <t>No fragile re-acquisition confidence hotspot</t>
        </is>
      </c>
      <c r="D28" s="2" t="inlineStr">
        <is>
          <t>What To Do Next</t>
        </is>
      </c>
      <c r="E28" t="inlineStr">
        <is>
          <t>Review RepoC first, then close RepoB's reopened checklist item.</t>
        </is>
      </c>
    </row>
    <row r="29">
      <c r="A29" s="2" t="inlineStr">
        <is>
          <t>Reacquisition Softening Hotspot</t>
        </is>
      </c>
      <c r="B29" s="10" t="inlineStr">
        <is>
          <t>No reacquisition softening hotspot</t>
        </is>
      </c>
      <c r="D29" s="2" t="inlineStr">
        <is>
          <t>Trend</t>
        </is>
      </c>
      <c r="E29" t="inlineStr">
        <is>
          <t>Stable — Queue pressure is stable but still sticky.</t>
        </is>
      </c>
    </row>
    <row r="30">
      <c r="A30" s="2" t="inlineStr">
        <is>
          <t>Revalidation Needed Hotspot</t>
        </is>
      </c>
      <c r="B30" s="10" t="inlineStr">
        <is>
          <t>No reacquisition revalidation hotspot</t>
        </is>
      </c>
      <c r="D30" s="2" t="inlineStr">
        <is>
          <t>Primary Target</t>
        </is>
      </c>
      <c r="E30" t="inlineStr">
        <is>
          <t>No active target</t>
        </is>
      </c>
    </row>
    <row r="31">
      <c r="A31" s="2" t="inlineStr">
        <is>
          <t>Retired Confidence Hotspot</t>
        </is>
      </c>
      <c r="B31" s="10" t="inlineStr">
        <is>
          <t>No retired re-acquisition confidence hotspot</t>
        </is>
      </c>
      <c r="D31" s="2" t="inlineStr">
        <is>
          <t>Resolution Counts</t>
        </is>
      </c>
      <c r="E31" t="inlineStr">
        <is>
          <t>New 0 | Resolved 0 | Persisting 0</t>
        </is>
      </c>
    </row>
    <row r="32">
      <c r="A32" s="2" t="inlineStr">
        <is>
          <t>Under Revalidation Hotspot</t>
        </is>
      </c>
      <c r="B32" s="10" t="inlineStr">
        <is>
          <t>No under-revalidation recovery hotspot</t>
        </is>
      </c>
      <c r="D32" s="2" t="inlineStr">
        <is>
          <t>Why Top Target</t>
        </is>
      </c>
      <c r="E32" t="inlineStr">
        <is>
          <t>RepoC remains the top target because live drift is still open.</t>
        </is>
      </c>
    </row>
    <row r="33">
      <c r="A33" s="2" t="inlineStr">
        <is>
          <t>Rebuilding Restored Confidence Hotspot</t>
        </is>
      </c>
      <c r="B33" s="10" t="inlineStr">
        <is>
          <t>No rebuilding restored-confidence hotspot</t>
        </is>
      </c>
      <c r="D33" s="2" t="inlineStr">
        <is>
          <t>Closure Guidance</t>
        </is>
      </c>
      <c r="E33" t="inlineStr">
        <is>
          <t>Clear RepoC's security drift before moving to lower-pressure work.</t>
        </is>
      </c>
    </row>
    <row r="34">
      <c r="A34" s="2" t="inlineStr">
        <is>
          <t>Re-Earning Confidence Hotspot</t>
        </is>
      </c>
      <c r="B34" s="10" t="inlineStr">
        <is>
          <t>No confidence re-earning hotspot</t>
        </is>
      </c>
      <c r="D34" s="2" t="inlineStr">
        <is>
          <t>Aging Pressure</t>
        </is>
      </c>
      <c r="E34" t="inlineStr">
        <is>
          <t>Chronic 0 | Newly stale 0 | Longest No persisting item</t>
        </is>
      </c>
    </row>
    <row r="35">
      <c r="A35" s="2" t="inlineStr">
        <is>
          <t>Just Re-Earned Confidence Hotspot</t>
        </is>
      </c>
      <c r="B35" s="10" t="inlineStr">
        <is>
          <t>No just re-earned confidence hotspot</t>
        </is>
      </c>
      <c r="D35" s="2" t="inlineStr">
        <is>
          <t>What We Tried</t>
        </is>
      </c>
      <c r="E35" t="inlineStr">
        <is>
          <t>No recent intervention recorded</t>
        </is>
      </c>
    </row>
    <row r="36">
      <c r="A36" s="2" t="inlineStr">
        <is>
          <t>Holding Re-Earned Confidence Hotspot</t>
        </is>
      </c>
      <c r="B36" s="10" t="inlineStr">
        <is>
          <t>No holding re-earned confidence hotspot</t>
        </is>
      </c>
      <c r="D36" s="2" t="inlineStr">
        <is>
          <t>Last Outcome</t>
        </is>
      </c>
      <c r="E36" t="inlineStr">
        <is>
          <t>No Change</t>
        </is>
      </c>
    </row>
    <row r="37">
      <c r="A37" s="2" t="inlineStr">
        <is>
          <t>Closure Guidance</t>
        </is>
      </c>
      <c r="B37" s="10" t="inlineStr">
        <is>
          <t>Clear RepoC's security drift before moving to lower-pressure work.</t>
        </is>
      </c>
      <c r="D37" s="2" t="inlineStr">
        <is>
          <t>Resolution Evidence</t>
        </is>
      </c>
      <c r="E37" t="inlineStr">
        <is>
          <t>No resolution evidence is recorded yet.</t>
        </is>
      </c>
    </row>
    <row r="38">
      <c r="A38" s="2" t="inlineStr">
        <is>
          <t>What We Tried</t>
        </is>
      </c>
      <c r="B38" s="10" t="inlineStr">
        <is>
          <t>No recent intervention recorded</t>
        </is>
      </c>
      <c r="D38" s="2" t="inlineStr">
        <is>
          <t>Recovery Counts</t>
        </is>
      </c>
      <c r="E38" t="inlineStr">
        <is>
          <t>Confirmed resolved 0 | Reopened 0</t>
        </is>
      </c>
    </row>
    <row r="39">
      <c r="A39" s="2" t="inlineStr">
        <is>
          <t>Recommendation Confidence</t>
        </is>
      </c>
      <c r="B39" s="10" t="inlineStr">
        <is>
          <t>Low (0.00)</t>
        </is>
      </c>
      <c r="D39" s="2" t="inlineStr">
        <is>
          <t>Recommendation Confidence</t>
        </is>
      </c>
      <c r="E39" t="inlineStr">
        <is>
          <t>Low (0.00)</t>
        </is>
      </c>
    </row>
    <row r="40">
      <c r="A40" s="2" t="inlineStr">
        <is>
          <t>Resolution Evidence</t>
        </is>
      </c>
      <c r="B40" s="10" t="inlineStr">
        <is>
          <t>No resolution evidence is recorded yet.</t>
        </is>
      </c>
      <c r="D40" s="2" t="inlineStr">
        <is>
          <t>Confidence Rationale</t>
        </is>
      </c>
      <c r="E40" t="inlineStr">
        <is>
          <t>No confidence rationale is recorded yet.</t>
        </is>
      </c>
    </row>
    <row r="41">
      <c r="A41" s="2" t="inlineStr">
        <is>
          <t>Confidence Rationale</t>
        </is>
      </c>
      <c r="B41" s="10" t="inlineStr">
        <is>
          <t>No confidence rationale is recorded yet.</t>
        </is>
      </c>
      <c r="D41" s="2" t="inlineStr">
        <is>
          <t>Next Action Confidence</t>
        </is>
      </c>
      <c r="E41" t="inlineStr">
        <is>
          <t>Low (0.00)</t>
        </is>
      </c>
    </row>
    <row r="42">
      <c r="A42" s="2" t="inlineStr">
        <is>
          <t>Trust Policy</t>
        </is>
      </c>
      <c r="B42" s="10" t="inlineStr">
        <is>
          <t>Verify First</t>
        </is>
      </c>
      <c r="D42" s="2" t="inlineStr">
        <is>
          <t>Trust Policy</t>
        </is>
      </c>
      <c r="E42" t="inlineStr">
        <is>
          <t>Verify First</t>
        </is>
      </c>
    </row>
    <row r="43">
      <c r="A43" s="2" t="inlineStr">
        <is>
          <t>Trust Rationale</t>
        </is>
      </c>
      <c r="B43" s="10" t="inlineStr">
        <is>
          <t>The recommendation is sound, but recent reopen noise means it should still be reviewed before acting.</t>
        </is>
      </c>
      <c r="D43" s="2" t="inlineStr">
        <is>
          <t>Trust Rationale</t>
        </is>
      </c>
      <c r="E43" t="inlineStr">
        <is>
          <t>The recommendation is sound, but recent reopen noise means it should still be reviewed before acting.</t>
        </is>
      </c>
    </row>
    <row r="44">
      <c r="A44" s="2" t="inlineStr">
        <is>
          <t>Trust Exception</t>
        </is>
      </c>
      <c r="B44" s="10" t="inlineStr">
        <is>
          <t>None — No trust-policy exception reason is recorded yet.</t>
        </is>
      </c>
      <c r="D44" s="2" t="inlineStr">
        <is>
          <t>Trust Recovery</t>
        </is>
      </c>
      <c r="E44" t="inlineStr">
        <is>
          <t>None — No trust-recovery reason is recorded yet.</t>
        </is>
      </c>
    </row>
    <row r="45">
      <c r="A45" s="2" t="inlineStr">
        <is>
          <t>Trust Recovery</t>
        </is>
      </c>
      <c r="B45" s="10" t="inlineStr">
        <is>
          <t>None — No trust-recovery reason is recorded yet.</t>
        </is>
      </c>
      <c r="D45" s="2" t="inlineStr">
        <is>
          <t>Recovery Confidence</t>
        </is>
      </c>
      <c r="E45" t="inlineStr">
        <is>
          <t>Low (0.00)</t>
        </is>
      </c>
    </row>
    <row r="46">
      <c r="A46" s="2" t="inlineStr">
        <is>
          <t>Recovery Confidence</t>
        </is>
      </c>
      <c r="B46" s="10" t="inlineStr">
        <is>
          <t>Low (0.00)</t>
        </is>
      </c>
      <c r="D46" s="2" t="inlineStr">
        <is>
          <t>Recovery Persistence</t>
        </is>
      </c>
      <c r="E46" t="inlineStr">
        <is>
          <t>No follow-through recovery persistence signal is currently surfaced.</t>
        </is>
      </c>
    </row>
    <row r="47">
      <c r="A47" s="2" t="inlineStr">
        <is>
          <t>Exception Retirement</t>
        </is>
      </c>
      <c r="B47" s="10" t="inlineStr">
        <is>
          <t>None — No exception-retirement reason is recorded yet.</t>
        </is>
      </c>
      <c r="D47" s="2" t="inlineStr">
        <is>
          <t>Relapse Churn</t>
        </is>
      </c>
      <c r="E47" t="inlineStr">
        <is>
          <t>No relapse churn is currently surfaced.</t>
        </is>
      </c>
    </row>
    <row r="48">
      <c r="A48" s="2" t="inlineStr">
        <is>
          <t>Retirement Summary</t>
        </is>
      </c>
      <c r="B48" s="10" t="inlineStr">
        <is>
          <t>No exception-retirement summary is recorded yet.</t>
        </is>
      </c>
      <c r="D48" s="2" t="inlineStr">
        <is>
          <t>Recovery Freshness</t>
        </is>
      </c>
      <c r="E48" t="inlineStr">
        <is>
          <t>No follow-through recovery freshness signal is currently surfaced.</t>
        </is>
      </c>
    </row>
    <row r="49">
      <c r="A49" s="2" t="inlineStr">
        <is>
          <t>Policy Debt</t>
        </is>
      </c>
      <c r="B49" s="10" t="inlineStr">
        <is>
          <t>None — No policy-debt reason is recorded yet.</t>
        </is>
      </c>
      <c r="D49" s="2" t="inlineStr">
        <is>
          <t>Recovery Memory Reset</t>
        </is>
      </c>
      <c r="E49" t="inlineStr">
        <is>
          <t>No follow-through recovery memory reset signal is currently surfaced.</t>
        </is>
      </c>
    </row>
    <row r="50">
      <c r="A50" s="2" t="inlineStr">
        <is>
          <t>Class Normalization</t>
        </is>
      </c>
      <c r="B50" s="10" t="inlineStr">
        <is>
          <t>None — No class-normalization summary is recorded yet.</t>
        </is>
      </c>
      <c r="D50" s="2" t="inlineStr">
        <is>
          <t>Recovery Rebuild Strength</t>
        </is>
      </c>
      <c r="E50" t="inlineStr">
        <is>
          <t>No follow-through recovery rebuild-strength signal is currently surfaced.</t>
        </is>
      </c>
    </row>
    <row r="51">
      <c r="A51" s="2" t="inlineStr">
        <is>
          <t>Class Memory</t>
        </is>
      </c>
      <c r="B51" s="10" t="inlineStr">
        <is>
          <t>Insufficient Data — No class-memory freshness reason is recorded yet.</t>
        </is>
      </c>
      <c r="D51" s="2" t="inlineStr">
        <is>
          <t>Recovery Reacquisition</t>
        </is>
      </c>
      <c r="E51" t="inlineStr">
        <is>
          <t>No follow-through recovery reacquisition signal is currently surfaced.</t>
        </is>
      </c>
    </row>
    <row r="52">
      <c r="A52" s="2" t="inlineStr">
        <is>
          <t>Trust Decay</t>
        </is>
      </c>
      <c r="B52" s="10" t="inlineStr">
        <is>
          <t>None — No class-memory decay summary is recorded yet.</t>
        </is>
      </c>
      <c r="D52" s="2" t="inlineStr">
        <is>
          <t>Recovery Hotspot</t>
        </is>
      </c>
      <c r="E52" t="inlineStr">
        <is>
          <t>No active recovery or retirement hotspot</t>
        </is>
      </c>
    </row>
    <row r="53">
      <c r="A53" s="2" t="inlineStr">
        <is>
          <t>Class Reweighting</t>
        </is>
      </c>
      <c r="B53" s="10" t="inlineStr">
        <is>
          <t>Neutral (0.00) — No class reweighting summary is recorded yet.</t>
        </is>
      </c>
      <c r="D53" s="2" t="inlineStr">
        <is>
          <t>Retiring Watch Hotspot</t>
        </is>
      </c>
      <c r="E53" t="inlineStr">
        <is>
          <t>No active recovery or retirement hotspot</t>
        </is>
      </c>
    </row>
    <row r="54">
      <c r="A54" s="2" t="inlineStr">
        <is>
          <t>Class Reweighting Why</t>
        </is>
      </c>
      <c r="B54" s="10" t="inlineStr">
        <is>
          <t>No class reweighting rationale is recorded yet.</t>
        </is>
      </c>
      <c r="D54" s="2" t="inlineStr">
        <is>
          <t>Churn Hotspot</t>
        </is>
      </c>
      <c r="E54" t="inlineStr">
        <is>
          <t>No relapse-churn hotspot</t>
        </is>
      </c>
    </row>
    <row r="55">
      <c r="A55" s="2" t="inlineStr">
        <is>
          <t>Class Momentum</t>
        </is>
      </c>
      <c r="B55" s="10" t="inlineStr">
        <is>
          <t>Insufficient Data</t>
        </is>
      </c>
      <c r="D55" s="2" t="inlineStr">
        <is>
          <t>Freshness Hotspot</t>
        </is>
      </c>
      <c r="E55" t="inlineStr">
        <is>
          <t>No stale recovery-memory hotspot</t>
        </is>
      </c>
    </row>
    <row r="56">
      <c r="A56" s="2" t="inlineStr">
        <is>
          <t>Reweight Stability</t>
        </is>
      </c>
      <c r="B56" s="10" t="inlineStr">
        <is>
          <t>Watch — None: No class transition reason is recorded yet.</t>
        </is>
      </c>
      <c r="D56" s="2" t="inlineStr">
        <is>
          <t>Freshness Detail</t>
        </is>
      </c>
      <c r="E56" t="inlineStr">
        <is>
          <t>No follow-through recovery freshness signal is currently surfaced.</t>
        </is>
      </c>
    </row>
    <row r="57">
      <c r="A57" s="2" t="inlineStr">
        <is>
          <t>Transition Health</t>
        </is>
      </c>
      <c r="B57" s="10" t="inlineStr">
        <is>
          <t>None</t>
        </is>
      </c>
      <c r="D57" s="2" t="inlineStr">
        <is>
          <t>Rebuild Hotspot</t>
        </is>
      </c>
      <c r="E57" t="inlineStr">
        <is>
          <t>No rebuilding recovery-memory hotspot</t>
        </is>
      </c>
    </row>
    <row r="58">
      <c r="A58" s="2" t="inlineStr">
        <is>
          <t>Transition Summary</t>
        </is>
      </c>
      <c r="B58" s="10" t="inlineStr">
        <is>
          <t>No pending transition summary is recorded yet.</t>
        </is>
      </c>
      <c r="D58" s="2" t="inlineStr">
        <is>
          <t>Rebuild Strength Hotspot</t>
        </is>
      </c>
      <c r="E58" t="inlineStr">
        <is>
          <t>No rebuilding-after-reset hotspot</t>
        </is>
      </c>
    </row>
    <row r="59">
      <c r="A59" s="2" t="inlineStr">
        <is>
          <t>Transition Closure</t>
        </is>
      </c>
      <c r="B59" s="10" t="inlineStr">
        <is>
          <t>Low</t>
        </is>
      </c>
      <c r="D59" s="2" t="inlineStr">
        <is>
          <t>Reacquiring Hotspot</t>
        </is>
      </c>
      <c r="E59" t="inlineStr">
        <is>
          <t>No near-reacquisition hotspot</t>
        </is>
      </c>
    </row>
    <row r="60">
      <c r="A60" s="2" t="inlineStr">
        <is>
          <t>Transition Resolution</t>
        </is>
      </c>
      <c r="B60" s="10" t="inlineStr">
        <is>
          <t>None</t>
        </is>
      </c>
      <c r="D60" s="2" t="inlineStr">
        <is>
          <t>Reacquired Hotspot</t>
        </is>
      </c>
      <c r="E60" t="inlineStr">
        <is>
          <t>No re-acquired hotspot</t>
        </is>
      </c>
    </row>
    <row r="61">
      <c r="A61" s="2" t="inlineStr">
        <is>
          <t>Transition Likely Outcome</t>
        </is>
      </c>
      <c r="B61" s="10" t="inlineStr">
        <is>
          <t>None</t>
        </is>
      </c>
      <c r="D61" s="2" t="inlineStr">
        <is>
          <t>Fragile Reacquisition Hotspot</t>
        </is>
      </c>
      <c r="E61" t="inlineStr">
        <is>
          <t>No fragile reacquisition hotspot</t>
        </is>
      </c>
    </row>
    <row r="62">
      <c r="A62" s="2" t="inlineStr">
        <is>
          <t>Pending Debt Freshness</t>
        </is>
      </c>
      <c r="B62" s="10" t="inlineStr">
        <is>
          <t>Insufficient Data</t>
        </is>
      </c>
      <c r="D62" s="2" t="inlineStr">
        <is>
          <t>Exception Retirement</t>
        </is>
      </c>
      <c r="E62" t="inlineStr">
        <is>
          <t>None — No exception-retirement reason is recorded yet.</t>
        </is>
      </c>
    </row>
    <row r="63">
      <c r="A63" s="2" t="inlineStr">
        <is>
          <t>Closure Forecast</t>
        </is>
      </c>
      <c r="B63" s="10" t="inlineStr">
        <is>
          <t>Neutral</t>
        </is>
      </c>
      <c r="D63" s="2" t="inlineStr">
        <is>
          <t>Retirement Summary</t>
        </is>
      </c>
      <c r="E63" t="inlineStr">
        <is>
          <t>No exception-retirement summary is recorded yet.</t>
        </is>
      </c>
    </row>
    <row r="64">
      <c r="A64" s="2" t="inlineStr">
        <is>
          <t>Reset Re-entry Rebuild Re-Entry Restore Re-Re-Re-Restore Persistence</t>
        </is>
      </c>
      <c r="B64" s="10" t="inlineStr">
        <is>
          <t>None</t>
        </is>
      </c>
      <c r="D64" s="2" t="inlineStr">
        <is>
          <t>Policy Debt</t>
        </is>
      </c>
      <c r="E64" t="inlineStr">
        <is>
          <t>None — No policy-debt reason is recorded yet.</t>
        </is>
      </c>
    </row>
    <row r="65">
      <c r="A65" s="2" t="inlineStr">
        <is>
          <t>Reset Re-entry Rebuild Re-Entry Restore Re-Re-Re-Restore Churn Controls</t>
        </is>
      </c>
      <c r="B65" s="10" t="inlineStr">
        <is>
          <t>None</t>
        </is>
      </c>
      <c r="D65" s="2" t="inlineStr">
        <is>
          <t>Class Normalization</t>
        </is>
      </c>
      <c r="E65" t="inlineStr">
        <is>
          <t>None — No class-normalization summary is recorded yet.</t>
        </is>
      </c>
    </row>
    <row r="66">
      <c r="A66" s="2" t="inlineStr">
        <is>
          <t>Closure Forecast Summary</t>
        </is>
      </c>
      <c r="B66" s="10" t="inlineStr">
        <is>
          <t>No closure-forecast summary is recorded yet.</t>
        </is>
      </c>
      <c r="D66" s="2" t="inlineStr">
        <is>
          <t>Class Memory</t>
        </is>
      </c>
      <c r="E66" t="inlineStr">
        <is>
          <t>Insufficient Data — No class-memory freshness reason is recorded yet.</t>
        </is>
      </c>
    </row>
    <row r="67">
      <c r="A67" s="2" t="inlineStr">
        <is>
          <t>Momentum Summary</t>
        </is>
      </c>
      <c r="B67" s="10" t="inlineStr">
        <is>
          <t>No class momentum summary is recorded yet.</t>
        </is>
      </c>
      <c r="D67" s="2" t="inlineStr">
        <is>
          <t>Trust Decay</t>
        </is>
      </c>
      <c r="E67" t="inlineStr">
        <is>
          <t>None — No class-memory decay summary is recorded yet.</t>
        </is>
      </c>
    </row>
    <row r="68">
      <c r="A68" s="2" t="inlineStr">
        <is>
          <t>Exception Learning</t>
        </is>
      </c>
      <c r="B68" s="10" t="inlineStr">
        <is>
          <t>None — No exception-pattern summary is recorded yet.</t>
        </is>
      </c>
      <c r="D68" s="2" t="inlineStr">
        <is>
          <t>Class Reweighting</t>
        </is>
      </c>
      <c r="E68" t="inlineStr">
        <is>
          <t>Neutral (0.00) — No class reweighting summary is recorded yet.</t>
        </is>
      </c>
    </row>
    <row r="69">
      <c r="A69" s="2" t="inlineStr">
        <is>
          <t>Recommendation Drift</t>
        </is>
      </c>
      <c r="B69" s="10" t="inlineStr">
        <is>
          <t>Stable — No recommendation-drift summary is recorded yet.</t>
        </is>
      </c>
      <c r="D69" s="2" t="inlineStr">
        <is>
          <t>Class Reweighting Why</t>
        </is>
      </c>
      <c r="E69" t="inlineStr">
        <is>
          <t>No class reweighting rationale is recorded yet.</t>
        </is>
      </c>
    </row>
    <row r="70">
      <c r="A70" s="2" t="inlineStr">
        <is>
          <t>Adaptive Confidence</t>
        </is>
      </c>
      <c r="B70" s="10" t="inlineStr">
        <is>
          <t>No adaptive confidence summary is recorded yet.</t>
        </is>
      </c>
      <c r="D70" s="2" t="inlineStr">
        <is>
          <t>Class Momentum</t>
        </is>
      </c>
      <c r="E70" t="inlineStr">
        <is>
          <t>Insufficient Data</t>
        </is>
      </c>
    </row>
    <row r="71">
      <c r="A71" s="2" t="inlineStr">
        <is>
          <t>Confidence Validation</t>
        </is>
      </c>
      <c r="B71" s="10" t="inlineStr">
        <is>
          <t>Insufficient Data — No confidence-calibration summary is recorded yet.</t>
        </is>
      </c>
      <c r="D71" s="2" t="inlineStr">
        <is>
          <t>Reweight Stability</t>
        </is>
      </c>
      <c r="E71" t="inlineStr">
        <is>
          <t>Watch — None: No class transition reason is recorded yet.</t>
        </is>
      </c>
    </row>
    <row r="72">
      <c r="A72" s="2" t="inlineStr">
        <is>
          <t>Why It Matters</t>
        </is>
      </c>
      <c r="B72" s="10" t="inlineStr">
        <is>
          <t>Live drift is still present, so security work should stay ahead of lower-pressure cleanup.</t>
        </is>
      </c>
      <c r="D72" s="2" t="inlineStr">
        <is>
          <t>Transition Health</t>
        </is>
      </c>
      <c r="E72" t="inlineStr">
        <is>
          <t>None</t>
        </is>
      </c>
    </row>
    <row r="73">
      <c r="A73" s="2" t="inlineStr">
        <is>
          <t>Top Recommendation</t>
        </is>
      </c>
      <c r="B73" s="10" t="inlineStr">
        <is>
          <t>Review RepoC first, then close RepoB's reopened checklist item. Start with RepoC if you need a concrete place to begin.</t>
        </is>
      </c>
      <c r="D73" s="2" t="inlineStr">
        <is>
          <t>Transition Resolution</t>
        </is>
      </c>
      <c r="E73" t="inlineStr">
        <is>
          <t>None</t>
        </is>
      </c>
    </row>
    <row r="74">
      <c r="A74" s="2" t="inlineStr">
        <is>
          <t>Portfolio Catalog</t>
        </is>
      </c>
      <c r="B74" s="10" t="inlineStr">
        <is>
          <t>No portfolio catalog contract is recorded yet.</t>
        </is>
      </c>
      <c r="D74" s="2" t="inlineStr">
        <is>
          <t>Transition Summary</t>
        </is>
      </c>
      <c r="E74" t="inlineStr">
        <is>
          <t>No pending transition summary is recorded yet.</t>
        </is>
      </c>
    </row>
    <row r="75">
      <c r="A75" s="2" t="inlineStr">
        <is>
          <t>Operating Paths</t>
        </is>
      </c>
      <c r="B75" s="10" t="inlineStr">
        <is>
          <t>No normalized operating-path contract is recorded yet.</t>
        </is>
      </c>
      <c r="D75" s="2" t="inlineStr">
        <is>
          <t>Transition Closure</t>
        </is>
      </c>
      <c r="E75" t="inlineStr">
        <is>
          <t>Low</t>
        </is>
      </c>
    </row>
    <row r="76">
      <c r="A76" s="2" t="inlineStr">
        <is>
          <t>Intent Alignment</t>
        </is>
      </c>
      <c r="B76" s="10" t="inlineStr">
        <is>
          <t>Intent alignment cannot be judged until a portfolio catalog contract exists.</t>
        </is>
      </c>
      <c r="D76" s="2" t="inlineStr">
        <is>
          <t>Transition Likely Outcome</t>
        </is>
      </c>
      <c r="E76" t="inlineStr">
        <is>
          <t>None</t>
        </is>
      </c>
    </row>
    <row r="77">
      <c r="A77" s="2" t="inlineStr">
        <is>
          <t>Scorecards</t>
        </is>
      </c>
      <c r="B77" s="10" t="inlineStr">
        <is>
          <t>No maturity scorecard is recorded yet.</t>
        </is>
      </c>
      <c r="D77" s="2" t="inlineStr">
        <is>
          <t>Pending Debt Freshness</t>
        </is>
      </c>
      <c r="E77" t="inlineStr">
        <is>
          <t>Insufficient Data</t>
        </is>
      </c>
    </row>
    <row r="78">
      <c r="A78" s="2" t="inlineStr">
        <is>
          <t>Follow-Through</t>
        </is>
      </c>
      <c r="B78" s="10" t="inlineStr">
        <is>
          <t>One urgent item is still repeating in the recent window.</t>
        </is>
      </c>
      <c r="D78" s="2" t="inlineStr">
        <is>
          <t>Closure Forecast</t>
        </is>
      </c>
      <c r="E78" t="inlineStr">
        <is>
          <t>Neutral</t>
        </is>
      </c>
    </row>
    <row r="79">
      <c r="A79" s="2" t="inlineStr">
        <is>
          <t>Next Checkpoint</t>
        </is>
      </c>
      <c r="B79" s="10" t="inlineStr">
        <is>
          <t>Use the next run or linked artifact to confirm whether the recommendation moved.</t>
        </is>
      </c>
      <c r="D79" s="2" t="inlineStr">
        <is>
          <t>Reset Re-entry Rebuild Re-Entry Restore Re-Re-Re-Restore Persistence</t>
        </is>
      </c>
      <c r="E79" t="inlineStr">
        <is>
          <t>None</t>
        </is>
      </c>
    </row>
    <row r="80">
      <c r="A80" s="2" t="inlineStr">
        <is>
          <t>Escalation</t>
        </is>
      </c>
      <c r="B80" s="10" t="inlineStr">
        <is>
          <t>No stronger follow-through escalation is currently surfaced.</t>
        </is>
      </c>
      <c r="D80" s="2" t="inlineStr">
        <is>
          <t>Reset Re-entry Rebuild Re-Entry Restore Re-Re-Re-Restore Churn Controls</t>
        </is>
      </c>
      <c r="E80" t="inlineStr">
        <is>
          <t>None</t>
        </is>
      </c>
    </row>
    <row r="81">
      <c r="A81" s="2" t="inlineStr">
        <is>
          <t>Recovery / Retirement</t>
        </is>
      </c>
      <c r="B81" s="10" t="inlineStr">
        <is>
          <t>No follow-through recovery or escalation-retirement signal is currently surfaced.</t>
        </is>
      </c>
      <c r="D81" s="2" t="inlineStr">
        <is>
          <t>Closure Forecast Summary</t>
        </is>
      </c>
      <c r="E81" t="inlineStr">
        <is>
          <t>No closure-forecast summary is recorded yet.</t>
        </is>
      </c>
    </row>
    <row r="82">
      <c r="A82" s="2" t="inlineStr">
        <is>
          <t>Recovery Persistence</t>
        </is>
      </c>
      <c r="B82" s="10" t="inlineStr">
        <is>
          <t>No follow-through recovery persistence signal is currently surfaced.</t>
        </is>
      </c>
      <c r="D82" s="2" t="inlineStr">
        <is>
          <t>Momentum Summary</t>
        </is>
      </c>
      <c r="E82" t="inlineStr">
        <is>
          <t>No class momentum summary is recorded yet.</t>
        </is>
      </c>
    </row>
    <row r="83">
      <c r="A83" s="2" t="inlineStr">
        <is>
          <t>Relapse Churn</t>
        </is>
      </c>
      <c r="B83" s="10" t="inlineStr">
        <is>
          <t>No relapse churn is currently surfaced.</t>
        </is>
      </c>
      <c r="D83" s="2" t="inlineStr">
        <is>
          <t>Exception Learning</t>
        </is>
      </c>
      <c r="E83" t="inlineStr">
        <is>
          <t>None — No exception-pattern summary is recorded yet.</t>
        </is>
      </c>
    </row>
    <row r="84">
      <c r="A84" s="2" t="inlineStr">
        <is>
          <t>Recovery Freshness</t>
        </is>
      </c>
      <c r="B84" s="10" t="inlineStr">
        <is>
          <t>No follow-through recovery freshness signal is currently surfaced.</t>
        </is>
      </c>
      <c r="D84" s="2" t="inlineStr">
        <is>
          <t>Recommendation Drift</t>
        </is>
      </c>
      <c r="E84" t="inlineStr">
        <is>
          <t>Stable — No recommendation-drift summary is recorded yet.</t>
        </is>
      </c>
    </row>
    <row r="85">
      <c r="A85" s="2" t="inlineStr">
        <is>
          <t>Recovery Memory Reset</t>
        </is>
      </c>
      <c r="B85" s="10" t="inlineStr">
        <is>
          <t>No follow-through recovery memory reset signal is currently surfaced.</t>
        </is>
      </c>
      <c r="D85" s="2" t="inlineStr">
        <is>
          <t>Adaptive Confidence</t>
        </is>
      </c>
      <c r="E85" t="inlineStr">
        <is>
          <t>No adaptive confidence summary is recorded yet.</t>
        </is>
      </c>
    </row>
    <row r="86">
      <c r="A86" s="2" t="inlineStr">
        <is>
          <t>Recovery Rebuild Strength</t>
        </is>
      </c>
      <c r="B86" s="10" t="inlineStr">
        <is>
          <t>No follow-through recovery rebuild-strength signal is currently surfaced.</t>
        </is>
      </c>
      <c r="D86" s="2" t="inlineStr">
        <is>
          <t>Recommendation Quality</t>
        </is>
      </c>
      <c r="E86" t="inlineStr">
        <is>
          <t>No recommendation-quality summary is recorded yet.</t>
        </is>
      </c>
    </row>
    <row r="87">
      <c r="A87" s="2" t="inlineStr">
        <is>
          <t>Recovery Reacquisition</t>
        </is>
      </c>
      <c r="B87" s="10" t="inlineStr">
        <is>
          <t>No follow-through recovery reacquisition signal is currently surfaced.</t>
        </is>
      </c>
      <c r="D87" s="2" t="inlineStr">
        <is>
          <t>Confidence Validation</t>
        </is>
      </c>
      <c r="E87" t="inlineStr">
        <is>
          <t>Insufficient Data — No confidence-calibration summary is recorded yet.</t>
        </is>
      </c>
    </row>
    <row r="88">
      <c r="A88" s="2" t="inlineStr">
        <is>
          <t>Reacquisition Durability</t>
        </is>
      </c>
      <c r="B88" s="10" t="inlineStr">
        <is>
          <t>No follow-through reacquisition durability signal is currently surfaced.</t>
        </is>
      </c>
      <c r="D88" s="2" t="inlineStr">
        <is>
          <t>Calibration Snapshot</t>
        </is>
      </c>
      <c r="E88" t="inlineStr">
        <is>
          <t>High-confidence hit rate 0% | 0 reopened</t>
        </is>
      </c>
    </row>
    <row r="89">
      <c r="A89" s="2" t="inlineStr">
        <is>
          <t>Reacquisition Confidence</t>
        </is>
      </c>
      <c r="B89" s="10" t="inlineStr">
        <is>
          <t>No follow-through reacquisition confidence-consolidation signal is currently surfaced.</t>
        </is>
      </c>
    </row>
    <row r="90">
      <c r="A90" s="2" t="inlineStr">
        <is>
          <t>Operator Focus</t>
        </is>
      </c>
      <c r="B90" s="10" t="inlineStr">
        <is>
          <t>Act Now</t>
        </is>
      </c>
    </row>
    <row r="91">
      <c r="A91" s="2" t="inlineStr">
        <is>
          <t>Focus Summary</t>
        </is>
      </c>
      <c r="B91" s="10" t="inlineStr">
        <is>
          <t>2 item(s) need immediate action first, led by RepoC, RepoB.</t>
        </is>
      </c>
    </row>
    <row r="92">
      <c r="A92" s="2" t="inlineStr">
        <is>
          <t>Focus Line</t>
        </is>
      </c>
      <c r="B92" s="10" t="inlineStr">
        <is>
          <t>Act Now: Governed security drift is still unresolved.</t>
        </is>
      </c>
    </row>
    <row r="93">
      <c r="A93" s="2" t="inlineStr">
        <is>
          <t>Trust Summary</t>
        </is>
      </c>
      <c r="B93" s="10" t="inlineStr">
        <is>
          <t>verify-first — The recommendation is sound, but recent reopen noise means it should still be reviewed before acting.</t>
        </is>
      </c>
    </row>
    <row r="94">
      <c r="A94" s="2" t="inlineStr">
        <is>
          <t>Biggest Opportunity</t>
        </is>
      </c>
      <c r="B94" s="10" t="inlineStr">
        <is>
          <t>RepoA</t>
        </is>
      </c>
    </row>
    <row r="95">
      <c r="A95" s="2" t="inlineStr">
        <is>
          <t>Focus This Week</t>
        </is>
      </c>
      <c r="B95" s="10" t="inlineStr">
        <is>
          <t>Review RepoC first, then close RepoB's reopened checklist item.</t>
        </is>
      </c>
    </row>
  </sheetData>
  <mergeCells count="13">
    <mergeCell ref="A2:F2"/>
    <mergeCell ref="C10:D10"/>
    <mergeCell ref="E10:F10"/>
    <mergeCell ref="C11:D11"/>
    <mergeCell ref="A11:B11"/>
    <mergeCell ref="A1:F1"/>
    <mergeCell ref="A10:B10"/>
    <mergeCell ref="E11:F11"/>
    <mergeCell ref="G10:H10"/>
    <mergeCell ref="G11:H11"/>
    <mergeCell ref="I10:J10"/>
    <mergeCell ref="I11:J11"/>
    <mergeCell ref="A3:L3"/>
  </mergeCells>
  <hyperlinks>
    <hyperlink ref="N2" location="Dashboard!A1" display="Dashboard"/>
    <hyperlink ref="N3" location="'Review Queue'!A1" display="Review Queue"/>
    <hyperlink ref="N4" location="'Repo Detail'!A1" display="Repo Detail"/>
    <hyperlink ref="N5" location="'Run Changes'!A1" display="Run Changes"/>
  </hyperlinks>
  <pageMargins left="0.75" right="0.75" top="1" bottom="1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tabColor rgb="000F766E"/>
    <outlinePr summaryBelow="1" summaryRight="1"/>
    <pageSetUpPr/>
  </sheetPr>
  <dimension ref="A1:K8"/>
  <sheetViews>
    <sheetView showGridLines="1" zoomScale="110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3" customWidth="1" min="3" max="3"/>
    <col width="17" customWidth="1" min="4" max="4"/>
    <col width="19" customWidth="1" min="5" max="5"/>
    <col width="11" customWidth="1" min="6" max="6"/>
    <col width="11" customWidth="1" min="7" max="7"/>
    <col width="11" customWidth="1" min="8" max="8"/>
    <col width="16" customWidth="1" min="9" max="9"/>
  </cols>
  <sheetData>
    <row r="1">
      <c r="A1" s="1" t="inlineStr">
        <is>
          <t>By Lens</t>
        </is>
      </c>
      <c r="K1" s="2" t="inlineStr">
        <is>
          <t>Quick Links</t>
        </is>
      </c>
    </row>
    <row r="2">
      <c r="A2" s="7" t="inlineStr">
        <is>
          <t>Compare the same repos through different decision lenses so you can separate shipped work, risk, momentum, and showcase value.</t>
        </is>
      </c>
      <c r="K2" s="4" t="inlineStr">
        <is>
          <t>Dashboard</t>
        </is>
      </c>
    </row>
    <row r="3">
      <c r="A3" s="7" t="inlineStr">
        <is>
          <t>Current view: profile default | collection all | use this sheet to compare the same repo through multiple decision lenses.</t>
        </is>
      </c>
      <c r="K3" s="4" t="inlineStr">
        <is>
          <t>Review Queue</t>
        </is>
      </c>
    </row>
    <row r="4">
      <c r="K4" s="4" t="inlineStr">
        <is>
          <t>Repo Detail</t>
        </is>
      </c>
    </row>
    <row r="5" ht="30" customHeight="1">
      <c r="A5" s="32" t="inlineStr">
        <is>
          <t>Repo</t>
        </is>
      </c>
      <c r="B5" s="32" t="inlineStr">
        <is>
          <t>Profile Score</t>
        </is>
      </c>
      <c r="C5" s="32" t="inlineStr">
        <is>
          <t>Tier</t>
        </is>
      </c>
      <c r="D5" s="32" t="inlineStr">
        <is>
          <t>Ship Readiness</t>
        </is>
      </c>
      <c r="E5" s="32" t="inlineStr">
        <is>
          <t>Maintenance Risk</t>
        </is>
      </c>
      <c r="F5" s="32" t="inlineStr">
        <is>
          <t>Showcase</t>
        </is>
      </c>
      <c r="G5" s="32" t="inlineStr">
        <is>
          <t>Security</t>
        </is>
      </c>
      <c r="H5" s="32" t="inlineStr">
        <is>
          <t>Momentum</t>
        </is>
      </c>
      <c r="I5" s="32" t="inlineStr">
        <is>
          <t>Portfolio Fit</t>
        </is>
      </c>
      <c r="K5" s="4" t="inlineStr">
        <is>
          <t>Run Changes</t>
        </is>
      </c>
    </row>
    <row r="6">
      <c r="A6" s="28" t="inlineStr">
        <is>
          <t>RepoA</t>
        </is>
      </c>
      <c r="B6" s="29" t="n">
        <v>0.88</v>
      </c>
      <c r="C6" s="29" t="inlineStr">
        <is>
          <t>shipped</t>
        </is>
      </c>
      <c r="D6" s="29" t="n">
        <v>0.89</v>
      </c>
      <c r="E6" s="29" t="n">
        <v>0</v>
      </c>
      <c r="F6" s="29" t="n">
        <v>0</v>
      </c>
      <c r="G6" s="29" t="n">
        <v>0.82</v>
      </c>
      <c r="H6" s="29" t="n">
        <v>0.75</v>
      </c>
      <c r="I6" s="29" t="n">
        <v>0.86</v>
      </c>
      <c r="K6" s="4" t="inlineStr">
        <is>
          <t>Executive Summary</t>
        </is>
      </c>
    </row>
    <row r="7">
      <c r="A7" s="10" t="inlineStr">
        <is>
          <t>RepoB</t>
        </is>
      </c>
      <c r="B7" s="30" t="n">
        <v>0.62</v>
      </c>
      <c r="C7" s="30" t="inlineStr">
        <is>
          <t>functional</t>
        </is>
      </c>
      <c r="D7" s="30" t="n">
        <v>0.63</v>
      </c>
      <c r="E7" s="30" t="n">
        <v>0</v>
      </c>
      <c r="F7" s="30" t="n">
        <v>0</v>
      </c>
      <c r="G7" s="30" t="n">
        <v>0.66</v>
      </c>
      <c r="H7" s="30" t="n">
        <v>0.54</v>
      </c>
      <c r="I7" s="30" t="n">
        <v>0.58</v>
      </c>
    </row>
    <row r="8">
      <c r="A8" s="28" t="inlineStr">
        <is>
          <t>RepoC</t>
        </is>
      </c>
      <c r="B8" s="29" t="n">
        <v>0.44</v>
      </c>
      <c r="C8" s="29" t="inlineStr">
        <is>
          <t>wip</t>
        </is>
      </c>
      <c r="D8" s="29" t="n">
        <v>0.42</v>
      </c>
      <c r="E8" s="29" t="n">
        <v>0</v>
      </c>
      <c r="F8" s="29" t="n">
        <v>0</v>
      </c>
      <c r="G8" s="29" t="n">
        <v>0.28</v>
      </c>
      <c r="H8" s="29" t="n">
        <v>0.31</v>
      </c>
      <c r="I8" s="29" t="n">
        <v>0.36</v>
      </c>
    </row>
  </sheetData>
  <autoFilter ref="A5:I8"/>
  <mergeCells count="3">
    <mergeCell ref="A1:I1"/>
    <mergeCell ref="A3:I3"/>
    <mergeCell ref="A2:I2"/>
  </mergeCells>
  <hyperlinks>
    <hyperlink ref="K2" location="Dashboard!A1" display="Dashboard"/>
    <hyperlink ref="K3" location="'Review Queue'!A1" display="Review Queue"/>
    <hyperlink ref="K4" location="'Repo Detail'!A1" display="Repo Detail"/>
    <hyperlink ref="K5" location="'Run Changes'!A1" display="Run Changes"/>
    <hyperlink ref="K6" location="'Executive Summary'!A1" display="Executive Summary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C3AED"/>
    <outlinePr summaryBelow="1" summaryRight="1"/>
    <pageSetUpPr/>
  </sheetPr>
  <dimension ref="A1:J6"/>
  <sheetViews>
    <sheetView showGridLines="1" zoomScale="115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8" customWidth="1" min="2" max="2"/>
    <col width="38" customWidth="1" min="3" max="3"/>
    <col width="11" customWidth="1" min="4" max="4"/>
    <col width="12" customWidth="1" min="5" max="5"/>
  </cols>
  <sheetData>
    <row r="1">
      <c r="A1" s="1" t="inlineStr">
        <is>
          <t>By Collection</t>
        </is>
      </c>
      <c r="J1" s="2" t="inlineStr">
        <is>
          <t>Quick Links</t>
        </is>
      </c>
    </row>
    <row r="2">
      <c r="A2" s="7" t="inlineStr">
        <is>
          <t>Use this sheet to understand which collections are concentrated, which repos lead them, and where your showcase value is clustered.</t>
        </is>
      </c>
      <c r="J2" s="4" t="inlineStr">
        <is>
          <t>Dashboard</t>
        </is>
      </c>
    </row>
    <row r="3">
      <c r="A3" s="7" t="inlineStr">
        <is>
          <t>Current profile: default. Use this sheet to see how each collection groups related repos and where its best work sits.</t>
        </is>
      </c>
      <c r="J3" s="4" t="inlineStr">
        <is>
          <t>Review Queue</t>
        </is>
      </c>
    </row>
    <row r="4">
      <c r="J4" s="4" t="inlineStr">
        <is>
          <t>Repo Detail</t>
        </is>
      </c>
    </row>
    <row r="5" ht="30" customHeight="1">
      <c r="A5" s="32" t="inlineStr">
        <is>
          <t>Collection</t>
        </is>
      </c>
      <c r="B5" s="32" t="inlineStr">
        <is>
          <t>Repos</t>
        </is>
      </c>
      <c r="C5" s="32" t="inlineStr">
        <is>
          <t>Description</t>
        </is>
      </c>
      <c r="D5" s="32" t="inlineStr">
        <is>
          <t>Top Repo</t>
        </is>
      </c>
      <c r="E5" s="32" t="inlineStr">
        <is>
          <t>Top Score</t>
        </is>
      </c>
      <c r="J5" s="4" t="inlineStr">
        <is>
          <t>Run Changes</t>
        </is>
      </c>
    </row>
    <row r="6">
      <c r="A6" s="28" t="inlineStr">
        <is>
          <t>showcase</t>
        </is>
      </c>
      <c r="B6" s="29" t="n">
        <v>1</v>
      </c>
      <c r="C6" s="28" t="inlineStr">
        <is>
          <t>Best examples to show other people.</t>
        </is>
      </c>
      <c r="D6" s="28" t="inlineStr">
        <is>
          <t>RepoA</t>
        </is>
      </c>
      <c r="E6" s="29" t="n">
        <v>0.88</v>
      </c>
      <c r="J6" s="4" t="inlineStr">
        <is>
          <t>Executive Summary</t>
        </is>
      </c>
    </row>
  </sheetData>
  <autoFilter ref="A5:E6"/>
  <mergeCells count="3">
    <mergeCell ref="A2:E2"/>
    <mergeCell ref="A1:E1"/>
    <mergeCell ref="A3:E3"/>
  </mergeCells>
  <hyperlinks>
    <hyperlink ref="J2" location="Dashboard!A1" display="Dashboard"/>
    <hyperlink ref="J3" location="'Review Queue'!A1" display="Review Queue"/>
    <hyperlink ref="J4" location="'Repo Detail'!A1" display="Repo Detail"/>
    <hyperlink ref="J5" location="'Run Changes'!A1" display="Run Changes"/>
    <hyperlink ref="J6" location="'Executive Summary'!A1" display="Executive Summary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EA5E9"/>
    <outlinePr summaryBelow="1" summaryRight="1"/>
    <pageSetUpPr/>
  </sheetPr>
  <dimension ref="A1:J13"/>
  <sheetViews>
    <sheetView showGridLines="0" zoomScale="115" zoomScaleNormal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5" customWidth="1" min="3" max="3"/>
    <col width="10" customWidth="1" min="4" max="4"/>
    <col width="13" customWidth="1" min="5" max="5"/>
    <col width="17" customWidth="1" min="6" max="6"/>
    <col width="17" customWidth="1" min="7" max="7"/>
    <col width="19" customWidth="1" min="8" max="8"/>
  </cols>
  <sheetData>
    <row r="1">
      <c r="A1" s="1" t="inlineStr">
        <is>
          <t>Trend Summary</t>
        </is>
      </c>
      <c r="J1" s="2" t="inlineStr">
        <is>
          <t>Quick Links</t>
        </is>
      </c>
    </row>
    <row r="2">
      <c r="A2" s="7" t="inlineStr">
        <is>
          <t>Track portfolio movement over time, then scan the short repo trendlines below to see who is actually improving or drifting.</t>
        </is>
      </c>
      <c r="J2" s="4" t="inlineStr">
        <is>
          <t>Dashboard</t>
        </is>
      </c>
    </row>
    <row r="3">
      <c r="A3" s="7" t="inlineStr">
        <is>
          <t>Use this sheet when you want portfolio-wide movement first, then repo-level trendlines second.</t>
        </is>
      </c>
      <c r="J3" s="4" t="inlineStr">
        <is>
          <t>Review Queue</t>
        </is>
      </c>
    </row>
    <row r="4">
      <c r="J4" s="4" t="inlineStr">
        <is>
          <t>Repo Detail</t>
        </is>
      </c>
    </row>
    <row r="5" ht="30" customHeight="1">
      <c r="A5" s="32" t="inlineStr">
        <is>
          <t>Date</t>
        </is>
      </c>
      <c r="B5" s="32" t="inlineStr">
        <is>
          <t>Average Score</t>
        </is>
      </c>
      <c r="C5" s="32" t="inlineStr">
        <is>
          <t>Repos</t>
        </is>
      </c>
      <c r="D5" s="32" t="inlineStr">
        <is>
          <t>Shipped</t>
        </is>
      </c>
      <c r="E5" s="32" t="inlineStr">
        <is>
          <t>Functional</t>
        </is>
      </c>
      <c r="F5" s="32" t="inlineStr">
        <is>
          <t>Review Emitted</t>
        </is>
      </c>
      <c r="G5" s="32" t="inlineStr">
        <is>
          <t>Campaign Drift</t>
        </is>
      </c>
      <c r="H5" s="32" t="inlineStr">
        <is>
          <t>Governance Drift</t>
        </is>
      </c>
      <c r="J5" s="4" t="inlineStr">
        <is>
          <t>Run Changes</t>
        </is>
      </c>
    </row>
    <row r="6">
      <c r="A6" s="10" t="inlineStr">
        <is>
          <t>2026-04-12</t>
        </is>
      </c>
      <c r="B6" s="30" t="n">
        <v>0.65</v>
      </c>
      <c r="C6" s="30" t="n">
        <v>3</v>
      </c>
      <c r="D6" s="30" t="n">
        <v>1</v>
      </c>
      <c r="E6" s="30" t="n">
        <v>1</v>
      </c>
      <c r="F6" s="30" t="inlineStr">
        <is>
          <t>yes</t>
        </is>
      </c>
      <c r="G6" s="30" t="n">
        <v>1</v>
      </c>
      <c r="H6" s="30" t="n">
        <v>1</v>
      </c>
      <c r="J6" s="4" t="inlineStr">
        <is>
          <t>Executive Summary</t>
        </is>
      </c>
    </row>
    <row r="7"/>
    <row r="8"/>
    <row r="9">
      <c r="A9" s="6" t="inlineStr">
        <is>
          <t>Top Repo Trendlines</t>
        </is>
      </c>
    </row>
    <row r="10" ht="30" customHeight="1">
      <c r="A10" s="32" t="inlineStr">
        <is>
          <t>Repo</t>
        </is>
      </c>
      <c r="B10" s="32" t="inlineStr">
        <is>
          <t>Trendline</t>
        </is>
      </c>
      <c r="C10" s="32" t="inlineStr">
        <is>
          <t>Latest Score</t>
        </is>
      </c>
    </row>
    <row r="11">
      <c r="A11" s="10" t="inlineStr">
        <is>
          <t>RepoA</t>
        </is>
      </c>
      <c r="B11" s="10" t="inlineStr"/>
      <c r="C11" s="30" t="n">
        <v>0.88</v>
      </c>
    </row>
    <row r="12">
      <c r="A12" s="10" t="inlineStr">
        <is>
          <t>RepoB</t>
        </is>
      </c>
      <c r="B12" s="10" t="inlineStr"/>
      <c r="C12" s="30" t="n">
        <v>0.62</v>
      </c>
    </row>
    <row r="13">
      <c r="A13" s="10" t="inlineStr">
        <is>
          <t>RepoC</t>
        </is>
      </c>
      <c r="B13" s="10" t="inlineStr"/>
      <c r="C13" s="30" t="n">
        <v>0.44</v>
      </c>
    </row>
  </sheetData>
  <autoFilter ref="A5:H6"/>
  <mergeCells count="3">
    <mergeCell ref="A3:H3"/>
    <mergeCell ref="A2:H2"/>
    <mergeCell ref="A1:H1"/>
  </mergeCells>
  <hyperlinks>
    <hyperlink ref="J2" location="Dashboard!A1" display="Dashboard"/>
    <hyperlink ref="J3" location="'Review Queue'!A1" display="Review Queue"/>
    <hyperlink ref="J4" location="'Repo Detail'!A1" display="Repo Detail"/>
    <hyperlink ref="J5" location="'Run Changes'!A1" display="Run Changes"/>
    <hyperlink ref="J6" location="'Executive Summary'!A1" display="Executive Summary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891B2"/>
    <outlinePr summaryBelow="1" summaryRight="1"/>
    <pageSetUpPr/>
  </sheetPr>
  <dimension ref="A1:N39"/>
  <sheetViews>
    <sheetView showGridLines="0" zoomScale="115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47" customWidth="1" min="3" max="3"/>
    <col width="12" customWidth="1" min="4" max="4"/>
    <col width="13" customWidth="1" min="5" max="5"/>
    <col width="8" customWidth="1" min="6" max="6"/>
    <col width="12" customWidth="1" min="7" max="7"/>
    <col width="8" customWidth="1" min="8" max="8"/>
    <col width="11" customWidth="1" min="9" max="9"/>
  </cols>
  <sheetData>
    <row r="1">
      <c r="A1" s="1" t="inlineStr">
        <is>
          <t>Run Changes</t>
        </is>
      </c>
      <c r="N1" s="2" t="inlineStr">
        <is>
          <t>Quick Links</t>
        </is>
      </c>
    </row>
    <row r="2">
      <c r="A2" s="7" t="inlineStr">
        <is>
          <t>Use this sheet to answer one question quickly: what moved since the last run, and what actually needs follow-through now?</t>
        </is>
      </c>
      <c r="N2" s="4" t="inlineStr">
        <is>
          <t>Dashboard</t>
        </is>
      </c>
    </row>
    <row r="3">
      <c r="A3" s="7" t="inlineStr">
        <is>
          <t>Average score moved +0.020; 0 meaningful improvements, 0 regressions, 1 promotions, and 1 demotions were recorded.</t>
        </is>
      </c>
      <c r="N3" s="4" t="inlineStr">
        <is>
          <t>Review Queue</t>
        </is>
      </c>
    </row>
    <row r="4">
      <c r="A4" s="5" t="inlineStr">
        <is>
          <t>Read this page top to bottom: scan the summary cards first, then check regressions, blocked items, and new security or governance pressure.</t>
        </is>
      </c>
      <c r="N4" s="4" t="inlineStr">
        <is>
          <t>Repo Detail</t>
        </is>
      </c>
    </row>
    <row r="5">
      <c r="A5" s="2" t="inlineStr">
        <is>
          <t>Comparison Window</t>
        </is>
      </c>
      <c r="B5" s="25" t="inlineStr">
        <is>
          <t>2026-04-05 -&gt; 2026-04-12</t>
        </is>
      </c>
      <c r="N5" s="12" t="inlineStr">
        <is>
          <t>Run Changes</t>
        </is>
      </c>
    </row>
    <row r="6">
      <c r="A6" s="14" t="inlineStr">
        <is>
          <t>Improvements</t>
        </is>
      </c>
      <c r="B6" s="15" t="n"/>
      <c r="C6" s="14" t="inlineStr">
        <is>
          <t>Regressions</t>
        </is>
      </c>
      <c r="D6" s="15" t="n"/>
      <c r="E6" s="14" t="inlineStr">
        <is>
          <t>Promotions</t>
        </is>
      </c>
      <c r="F6" s="15" t="n"/>
      <c r="G6" s="14" t="inlineStr">
        <is>
          <t>Demotions</t>
        </is>
      </c>
      <c r="H6" s="15" t="n"/>
      <c r="I6" s="14" t="inlineStr">
        <is>
          <t>Security</t>
        </is>
      </c>
      <c r="J6" s="15" t="n"/>
      <c r="K6" s="14" t="inlineStr">
        <is>
          <t>Governance</t>
        </is>
      </c>
      <c r="L6" s="15" t="n"/>
      <c r="N6" s="4" t="inlineStr">
        <is>
          <t>Executive Summary</t>
        </is>
      </c>
    </row>
    <row r="7">
      <c r="A7" s="17" t="n">
        <v>0</v>
      </c>
      <c r="B7" s="15" t="n"/>
      <c r="C7" s="17" t="n">
        <v>0</v>
      </c>
      <c r="D7" s="15" t="n"/>
      <c r="E7" s="17" t="n">
        <v>1</v>
      </c>
      <c r="F7" s="15" t="n"/>
      <c r="G7" s="17" t="n">
        <v>1</v>
      </c>
      <c r="H7" s="15" t="n"/>
      <c r="I7" s="17" t="n">
        <v>1</v>
      </c>
      <c r="J7" s="15" t="n"/>
      <c r="K7" s="17" t="n">
        <v>1</v>
      </c>
      <c r="L7" s="15" t="n"/>
    </row>
    <row r="8"/>
    <row r="9">
      <c r="A9" s="6" t="inlineStr">
        <is>
          <t>Biggest Score Gains</t>
        </is>
      </c>
    </row>
    <row r="10" ht="30" customHeight="1">
      <c r="A10" s="32" t="inlineStr">
        <is>
          <t>Repo</t>
        </is>
      </c>
      <c r="B10" s="32" t="inlineStr">
        <is>
          <t>Delta</t>
        </is>
      </c>
      <c r="C10" s="32" t="inlineStr">
        <is>
          <t>New Score</t>
        </is>
      </c>
    </row>
    <row r="11">
      <c r="A11" s="10" t="inlineStr">
        <is>
          <t>RepoA</t>
        </is>
      </c>
      <c r="B11" s="30" t="n">
        <v>0.09</v>
      </c>
      <c r="C11" s="30" t="n">
        <v>0.88</v>
      </c>
    </row>
    <row r="12">
      <c r="A12" s="28" t="inlineStr">
        <is>
          <t>RepoB</t>
        </is>
      </c>
      <c r="B12" s="29" t="n">
        <v>-0.06</v>
      </c>
      <c r="C12" s="29" t="n">
        <v>0.62</v>
      </c>
    </row>
    <row r="13">
      <c r="A13" s="10" t="inlineStr">
        <is>
          <t>RepoC</t>
        </is>
      </c>
      <c r="B13" s="30" t="n">
        <v>-0.08</v>
      </c>
      <c r="C13" s="30" t="n">
        <v>0.44</v>
      </c>
    </row>
    <row r="14"/>
    <row r="15">
      <c r="A15" s="6" t="inlineStr">
        <is>
          <t>Biggest Regressions</t>
        </is>
      </c>
    </row>
    <row r="16" ht="30" customHeight="1">
      <c r="A16" s="32" t="inlineStr">
        <is>
          <t>Repo</t>
        </is>
      </c>
      <c r="B16" s="32" t="inlineStr">
        <is>
          <t>Delta</t>
        </is>
      </c>
      <c r="C16" s="32" t="inlineStr">
        <is>
          <t>New Score</t>
        </is>
      </c>
    </row>
    <row r="17">
      <c r="A17" s="10" t="inlineStr">
        <is>
          <t>RepoC</t>
        </is>
      </c>
      <c r="B17" s="30" t="n">
        <v>-0.08</v>
      </c>
      <c r="C17" s="30" t="n">
        <v>0.44</v>
      </c>
    </row>
    <row r="18">
      <c r="A18" s="28" t="inlineStr">
        <is>
          <t>RepoB</t>
        </is>
      </c>
      <c r="B18" s="29" t="n">
        <v>-0.06</v>
      </c>
      <c r="C18" s="29" t="n">
        <v>0.62</v>
      </c>
    </row>
    <row r="19">
      <c r="A19" s="10" t="inlineStr">
        <is>
          <t>RepoA</t>
        </is>
      </c>
      <c r="B19" s="30" t="n">
        <v>0.09</v>
      </c>
      <c r="C19" s="30" t="n">
        <v>0.88</v>
      </c>
    </row>
    <row r="20"/>
    <row r="21">
      <c r="A21" s="6" t="inlineStr">
        <is>
          <t>Tier Promotions / Demotions</t>
        </is>
      </c>
    </row>
    <row r="22" ht="30" customHeight="1">
      <c r="A22" s="32" t="inlineStr">
        <is>
          <t>Repo</t>
        </is>
      </c>
      <c r="B22" s="32" t="inlineStr">
        <is>
          <t>Old Tier</t>
        </is>
      </c>
      <c r="C22" s="32" t="inlineStr">
        <is>
          <t>New Tier</t>
        </is>
      </c>
      <c r="D22" s="32" t="inlineStr">
        <is>
          <t>Movement</t>
        </is>
      </c>
    </row>
    <row r="23">
      <c r="A23" s="10" t="inlineStr">
        <is>
          <t>RepoA</t>
        </is>
      </c>
      <c r="B23" s="10" t="inlineStr">
        <is>
          <t>functional</t>
        </is>
      </c>
      <c r="C23" s="10" t="inlineStr">
        <is>
          <t>shipped</t>
        </is>
      </c>
      <c r="D23" s="10" t="inlineStr">
        <is>
          <t>promotion</t>
        </is>
      </c>
    </row>
    <row r="24">
      <c r="A24" s="28" t="inlineStr">
        <is>
          <t>RepoC</t>
        </is>
      </c>
      <c r="B24" s="28" t="inlineStr">
        <is>
          <t>functional</t>
        </is>
      </c>
      <c r="C24" s="28" t="inlineStr">
        <is>
          <t>wip</t>
        </is>
      </c>
      <c r="D24" s="28" t="inlineStr">
        <is>
          <t>demotion</t>
        </is>
      </c>
    </row>
    <row r="25"/>
    <row r="26">
      <c r="A26" s="6" t="inlineStr">
        <is>
          <t>Newly Blocked Items</t>
        </is>
      </c>
    </row>
    <row r="27" ht="30" customHeight="1">
      <c r="A27" s="32" t="inlineStr">
        <is>
          <t>Repo</t>
        </is>
      </c>
      <c r="B27" s="32" t="inlineStr">
        <is>
          <t>Item</t>
        </is>
      </c>
      <c r="C27" s="32" t="inlineStr">
        <is>
          <t>Why</t>
        </is>
      </c>
    </row>
    <row r="28">
      <c r="A28" s="28" t="inlineStr">
        <is>
          <t>RepoC</t>
        </is>
      </c>
      <c r="B28" s="28" t="inlineStr">
        <is>
          <t>Security drift needs review</t>
        </is>
      </c>
      <c r="C28" s="28" t="inlineStr">
        <is>
          <t>Governed security drift is still unresolved.</t>
        </is>
      </c>
    </row>
    <row r="29"/>
    <row r="30">
      <c r="A30" s="6" t="inlineStr">
        <is>
          <t>Reopened Items</t>
        </is>
      </c>
    </row>
    <row r="31" ht="30" customHeight="1">
      <c r="A31" s="32" t="inlineStr">
        <is>
          <t>Repo</t>
        </is>
      </c>
      <c r="B31" s="32" t="inlineStr">
        <is>
          <t>Title</t>
        </is>
      </c>
      <c r="C31" s="32" t="inlineStr">
        <is>
          <t>Type</t>
        </is>
      </c>
    </row>
    <row r="32">
      <c r="A32" s="28" t="inlineStr">
        <is>
          <t>RepoB</t>
        </is>
      </c>
      <c r="B32" s="28" t="inlineStr">
        <is>
          <t>Release checklist reopened</t>
        </is>
      </c>
      <c r="C32" s="28" t="inlineStr">
        <is>
          <t>reopened-review</t>
        </is>
      </c>
    </row>
    <row r="33"/>
    <row r="34">
      <c r="A34" s="6" t="inlineStr">
        <is>
          <t>New Security / Governance Pressure</t>
        </is>
      </c>
    </row>
    <row r="35" ht="30" customHeight="1">
      <c r="A35" s="32" t="inlineStr">
        <is>
          <t>Repo</t>
        </is>
      </c>
      <c r="B35" s="32" t="inlineStr">
        <is>
          <t>Signal</t>
        </is>
      </c>
      <c r="C35" s="32" t="inlineStr">
        <is>
          <t>Area</t>
        </is>
      </c>
    </row>
    <row r="36">
      <c r="A36" s="28" t="inlineStr">
        <is>
          <t>sample-user/RepoC</t>
        </is>
      </c>
      <c r="B36" s="28" t="inlineStr">
        <is>
          <t>already-enabled</t>
        </is>
      </c>
      <c r="C36" s="28" t="inlineStr">
        <is>
          <t>governance</t>
        </is>
      </c>
    </row>
    <row r="37">
      <c r="A37" s="10" t="inlineStr">
        <is>
          <t>RepoC</t>
        </is>
      </c>
      <c r="B37" s="10" t="inlineStr">
        <is>
          <t>critical</t>
        </is>
      </c>
      <c r="C37" s="10" t="inlineStr">
        <is>
          <t>security</t>
        </is>
      </c>
    </row>
    <row r="38"/>
    <row r="39"/>
  </sheetData>
  <mergeCells count="16">
    <mergeCell ref="K7:L7"/>
    <mergeCell ref="E6:F6"/>
    <mergeCell ref="A2:I2"/>
    <mergeCell ref="C6:D6"/>
    <mergeCell ref="A7:B7"/>
    <mergeCell ref="C7:D7"/>
    <mergeCell ref="E7:F7"/>
    <mergeCell ref="G7:H7"/>
    <mergeCell ref="I6:J6"/>
    <mergeCell ref="I7:J7"/>
    <mergeCell ref="A1:I1"/>
    <mergeCell ref="A3:I3"/>
    <mergeCell ref="G6:H6"/>
    <mergeCell ref="K6:L6"/>
    <mergeCell ref="A4:I4"/>
    <mergeCell ref="A6:B6"/>
  </mergeCells>
  <hyperlinks>
    <hyperlink ref="N2" location="Dashboard!A1" display="Dashboard"/>
    <hyperlink ref="N3" location="'Review Queue'!A1" display="Review Queue"/>
    <hyperlink ref="N4" location="'Repo Detail'!A1" display="Repo Detail"/>
    <hyperlink ref="N6" location="'Executive Summary'!A1" display="Executive Summary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C3AED"/>
    <outlinePr summaryBelow="1" summaryRight="1"/>
    <pageSetUpPr/>
  </sheetPr>
  <dimension ref="A1:M18"/>
  <sheetViews>
    <sheetView showGridLines="0" zoomScale="115" zoomScaleNormal="10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11" customWidth="1" min="4" max="4"/>
    <col width="17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Campaigns</t>
        </is>
      </c>
      <c r="M1" s="2" t="inlineStr">
        <is>
          <t>Quick Links</t>
        </is>
      </c>
    </row>
    <row r="2">
      <c r="A2" s="7" t="inlineStr">
        <is>
          <t>Managed campaign state stays local-authoritative here. This sheet is where you see open work, stale items, and whether there is anything to reconcile.</t>
        </is>
      </c>
      <c r="M2" s="4" t="inlineStr">
        <is>
          <t>Dashboard</t>
        </is>
      </c>
    </row>
    <row r="3">
      <c r="M3" s="4" t="inlineStr">
        <is>
          <t>Review Queue</t>
        </is>
      </c>
    </row>
    <row r="4">
      <c r="A4" s="6" t="inlineStr">
        <is>
          <t>Current Campaign State</t>
        </is>
      </c>
      <c r="J4" s="6" t="inlineStr">
        <is>
          <t>Action Sync Readiness</t>
        </is>
      </c>
      <c r="M4" s="4" t="inlineStr">
        <is>
          <t>Repo Detail</t>
        </is>
      </c>
    </row>
    <row r="5">
      <c r="A5" s="2" t="inlineStr">
        <is>
          <t>Campaign</t>
        </is>
      </c>
      <c r="B5" s="10" t="inlineStr">
        <is>
          <t>Security Review</t>
        </is>
      </c>
      <c r="J5" s="2" t="inlineStr">
        <is>
          <t>Action Sync Readiness</t>
        </is>
      </c>
      <c r="K5" s="10" t="inlineStr">
        <is>
          <t>No current campaign needs Action Sync yet, so the safest next move is to keep the story local.</t>
        </is>
      </c>
      <c r="M5" s="4" t="inlineStr">
        <is>
          <t>Run Changes</t>
        </is>
      </c>
    </row>
    <row r="6">
      <c r="A6" s="2" t="inlineStr">
        <is>
          <t>Request State</t>
        </is>
      </c>
      <c r="B6" s="10" t="inlineStr">
        <is>
          <t>Campaign requested from the current report facts.</t>
        </is>
      </c>
      <c r="J6" s="2" t="inlineStr">
        <is>
          <t>Next Action Sync Step</t>
        </is>
      </c>
      <c r="K6" s="10" t="inlineStr">
        <is>
          <t>Stay local for now; no current campaign needs preview or apply.</t>
        </is>
      </c>
      <c r="M6" s="4" t="inlineStr">
        <is>
          <t>Executive Summary</t>
        </is>
      </c>
    </row>
    <row r="7">
      <c r="A7" s="2" t="inlineStr">
        <is>
          <t>Row State</t>
        </is>
      </c>
      <c r="B7" s="10" t="inlineStr">
        <is>
          <t>Campaign rows are present. External mutation stays manual until writeback apply is explicitly requested.</t>
        </is>
      </c>
      <c r="J7" s="2" t="inlineStr">
        <is>
          <t>Apply Packet</t>
        </is>
      </c>
      <c r="K7" s="10" t="inlineStr">
        <is>
          <t>No current campaign has a safe execution handoff yet, so the local story should stay local for now.</t>
        </is>
      </c>
    </row>
    <row r="8">
      <c r="A8" s="2" t="inlineStr">
        <is>
          <t>Profile</t>
        </is>
      </c>
      <c r="B8" s="10" t="inlineStr">
        <is>
          <t>default</t>
        </is>
      </c>
      <c r="J8" s="2" t="inlineStr">
        <is>
          <t>Command Hint</t>
        </is>
      </c>
      <c r="K8" s="10" t="inlineStr">
        <is>
          <t>No Action Sync command is recommended yet.</t>
        </is>
      </c>
    </row>
    <row r="9">
      <c r="A9" s="2" t="inlineStr">
        <is>
          <t>Collection</t>
        </is>
      </c>
      <c r="B9" s="10" t="inlineStr">
        <is>
          <t>all</t>
        </is>
      </c>
      <c r="J9" s="2" t="inlineStr">
        <is>
          <t>Post-Apply Monitoring</t>
        </is>
      </c>
      <c r="K9" s="10" t="inlineStr">
        <is>
          <t>No recent Action Sync apply needs post-apply monitoring yet, so the local weekly story can stay local.</t>
        </is>
      </c>
    </row>
    <row r="10">
      <c r="A10" s="2" t="inlineStr">
        <is>
          <t>Actions</t>
        </is>
      </c>
      <c r="B10" s="10" t="n">
        <v>1</v>
      </c>
      <c r="J10" s="2" t="inlineStr">
        <is>
          <t>Next Monitoring Step</t>
        </is>
      </c>
      <c r="K10" s="10" t="inlineStr">
        <is>
          <t>Stay local for now; no recent Action Sync apply needs post-apply follow-up yet.</t>
        </is>
      </c>
    </row>
    <row r="11">
      <c r="A11" s="2" t="inlineStr">
        <is>
          <t>Repos</t>
        </is>
      </c>
      <c r="B11" s="10" t="n">
        <v>1</v>
      </c>
      <c r="J11" s="2" t="inlineStr">
        <is>
          <t>Campaign Tuning</t>
        </is>
      </c>
      <c r="K11" s="10" t="inlineStr">
        <is>
          <t>Campaign tuning is neutral because there is not enough outcome history yet to bias tied recommendations.</t>
        </is>
      </c>
    </row>
    <row r="12">
      <c r="A12" s="2" t="inlineStr">
        <is>
          <t>Sync Mode</t>
        </is>
      </c>
      <c r="B12" s="10" t="inlineStr">
        <is>
          <t>reconcile</t>
        </is>
      </c>
      <c r="J12" s="2" t="inlineStr">
        <is>
          <t>Next Tie-Break Candidate</t>
        </is>
      </c>
      <c r="K12" s="10" t="inlineStr">
        <is>
          <t>No current campaign needs a tuning tie-break yet.</t>
        </is>
      </c>
    </row>
    <row r="13">
      <c r="A13" s="2" t="inlineStr">
        <is>
          <t>GitHub Projects</t>
        </is>
      </c>
      <c r="B13" s="10" t="inlineStr">
        <is>
          <t>disabled</t>
        </is>
      </c>
      <c r="J13" s="2" t="inlineStr">
        <is>
          <t>Historical Portfolio Intelligence</t>
        </is>
      </c>
      <c r="K13" s="10" t="inlineStr">
        <is>
          <t>Historical portfolio intelligence is still thin, so the weekly story should stay grounded in the current run and recent operator queue.</t>
        </is>
      </c>
    </row>
    <row r="14">
      <c r="J14" s="2" t="inlineStr">
        <is>
          <t>Next Historical Focus</t>
        </is>
      </c>
      <c r="K14" s="10" t="inlineStr">
        <is>
          <t>Stay local for now; no repo has enough cross-run intervention evidence to demand a historical follow-up read yet.</t>
        </is>
      </c>
    </row>
    <row r="15" ht="30" customHeight="1">
      <c r="A15" s="32" t="inlineStr">
        <is>
          <t>Repo</t>
        </is>
      </c>
      <c r="B15" s="32" t="inlineStr">
        <is>
          <t>Issue</t>
        </is>
      </c>
      <c r="C15" s="32" t="inlineStr">
        <is>
          <t>Topics</t>
        </is>
      </c>
      <c r="D15" s="32" t="inlineStr">
        <is>
          <t>Projects</t>
        </is>
      </c>
      <c r="E15" s="32" t="inlineStr">
        <is>
          <t>Notion Actions</t>
        </is>
      </c>
      <c r="F15" s="32" t="inlineStr">
        <is>
          <t>Action IDs</t>
        </is>
      </c>
      <c r="G15" s="32" t="inlineStr">
        <is>
          <t>Drift</t>
        </is>
      </c>
      <c r="H15" s="32" t="inlineStr">
        <is>
          <t>Sync Mode</t>
        </is>
      </c>
      <c r="J15" s="2" t="inlineStr">
        <is>
          <t>Automation Guidance</t>
        </is>
      </c>
      <c r="K15" s="10" t="inlineStr">
        <is>
          <t>Automation guidance stays quiet until a campaign has a clearly safe preview, follow-up, or manual-only posture.</t>
        </is>
      </c>
    </row>
    <row r="16">
      <c r="A16" s="27" t="inlineStr">
        <is>
          <t>RepoC</t>
        </is>
      </c>
      <c r="B16" s="27" t="inlineStr">
        <is>
          <t>[Repo Auditor] Security Review</t>
        </is>
      </c>
      <c r="C16" s="27" t="inlineStr">
        <is>
          <t>ghra-call-security-review</t>
        </is>
      </c>
      <c r="D16" s="27" t="n">
        <v>0</v>
      </c>
      <c r="E16" s="27" t="n">
        <v>1</v>
      </c>
      <c r="F16" s="27" t="inlineStr"/>
      <c r="G16" s="27" t="inlineStr">
        <is>
          <t>no</t>
        </is>
      </c>
      <c r="H16" s="27" t="inlineStr">
        <is>
          <t>reconcile</t>
        </is>
      </c>
      <c r="J16" s="2" t="inlineStr">
        <is>
          <t>Next Safe Automation Step</t>
        </is>
      </c>
      <c r="K16" s="10" t="inlineStr">
        <is>
          <t>Stay local for now; no current campaign has a stronger safe automation posture than manual review.</t>
        </is>
      </c>
    </row>
    <row r="17">
      <c r="J17" s="2" t="inlineStr">
        <is>
          <t>Approval Workflow</t>
        </is>
      </c>
      <c r="K17" s="10" t="inlineStr">
        <is>
          <t>No current approval needs review yet, so the approval workflow can stay local for now.</t>
        </is>
      </c>
    </row>
    <row r="18">
      <c r="J18" s="2" t="inlineStr">
        <is>
          <t>Next Approval Review</t>
        </is>
      </c>
      <c r="K18" s="10" t="inlineStr">
        <is>
          <t>Stay local for now; no current approval needs review.</t>
        </is>
      </c>
    </row>
  </sheetData>
  <autoFilter ref="A15:H16"/>
  <mergeCells count="2">
    <mergeCell ref="A2:H2"/>
    <mergeCell ref="A1:H1"/>
  </mergeCells>
  <hyperlinks>
    <hyperlink ref="M2" location="Dashboard!A1" display="Dashboard"/>
    <hyperlink ref="M3" location="'Review Queue'!A1" display="Review Queue"/>
    <hyperlink ref="M4" location="'Repo Detail'!A1" display="Repo Detail"/>
    <hyperlink ref="M5" location="'Run Changes'!A1" display="Run Changes"/>
    <hyperlink ref="M6" location="'Executive Summary'!A1" display="Executive Summary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C3AED"/>
    <outlinePr summaryBelow="1" summaryRight="1"/>
    <pageSetUpPr/>
  </sheetPr>
  <dimension ref="A1:J12"/>
  <sheetViews>
    <sheetView showGridLines="0" zoomScale="115" zoomScaleNormal="10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8" customWidth="1" min="3" max="3"/>
    <col width="16" customWidth="1" min="4" max="4"/>
    <col width="9" customWidth="1" min="5" max="5"/>
    <col width="9" customWidth="1" min="6" max="6"/>
    <col width="8" customWidth="1" min="7" max="7"/>
  </cols>
  <sheetData>
    <row r="1">
      <c r="A1" s="1" t="inlineStr">
        <is>
          <t>Governance Controls</t>
        </is>
      </c>
      <c r="J1" s="2" t="inlineStr">
        <is>
          <t>Quick Links</t>
        </is>
      </c>
    </row>
    <row r="2">
      <c r="A2" s="7" t="inlineStr">
        <is>
          <t>This sheet shows the current governed control family only: readiness, drift, re-approval need, and rollback visibility.</t>
        </is>
      </c>
      <c r="J2" s="4" t="inlineStr">
        <is>
          <t>Dashboard</t>
        </is>
      </c>
    </row>
    <row r="3">
      <c r="J3" s="4" t="inlineStr">
        <is>
          <t>Review Queue</t>
        </is>
      </c>
    </row>
    <row r="4">
      <c r="A4" s="6" t="inlineStr">
        <is>
          <t>Governance Snapshot</t>
        </is>
      </c>
      <c r="J4" s="4" t="inlineStr">
        <is>
          <t>Repo Detail</t>
        </is>
      </c>
    </row>
    <row r="5">
      <c r="A5" s="2" t="inlineStr">
        <is>
          <t>Status</t>
        </is>
      </c>
      <c r="B5" s="10" t="inlineStr">
        <is>
          <t>Drifted</t>
        </is>
      </c>
      <c r="J5" s="4" t="inlineStr">
        <is>
          <t>Run Changes</t>
        </is>
      </c>
    </row>
    <row r="6">
      <c r="A6" s="2" t="inlineStr">
        <is>
          <t>Selected View</t>
        </is>
      </c>
      <c r="B6" s="10" t="inlineStr">
        <is>
          <t>all</t>
        </is>
      </c>
      <c r="J6" s="4" t="inlineStr">
        <is>
          <t>Executive Summary</t>
        </is>
      </c>
    </row>
    <row r="7">
      <c r="A7" s="2" t="inlineStr">
        <is>
          <t>Approval</t>
        </is>
      </c>
      <c r="B7" s="10" t="inlineStr">
        <is>
          <t>Preview only</t>
        </is>
      </c>
    </row>
    <row r="8">
      <c r="A8" s="2" t="inlineStr">
        <is>
          <t>Needs Re-Approval</t>
        </is>
      </c>
      <c r="B8" s="10" t="inlineStr">
        <is>
          <t>no</t>
        </is>
      </c>
    </row>
    <row r="9">
      <c r="A9" s="2" t="inlineStr">
        <is>
          <t>Rollback Available</t>
        </is>
      </c>
      <c r="B9" s="10" t="n">
        <v>1</v>
      </c>
    </row>
    <row r="10">
      <c r="A10" s="2" t="inlineStr">
        <is>
          <t>Headline</t>
        </is>
      </c>
      <c r="B10" s="10" t="inlineStr">
        <is>
          <t>Governed security drift needs review.</t>
        </is>
      </c>
    </row>
    <row r="11" ht="30" customHeight="1">
      <c r="A11" s="32" t="inlineStr">
        <is>
          <t>Repo</t>
        </is>
      </c>
      <c r="B11" s="48" t="inlineStr">
        <is>
          <t>Action</t>
        </is>
      </c>
      <c r="C11" s="32" t="inlineStr">
        <is>
          <t>State</t>
        </is>
      </c>
      <c r="D11" s="32" t="inlineStr">
        <is>
          <t>Expected Lift</t>
        </is>
      </c>
      <c r="E11" s="32" t="inlineStr">
        <is>
          <t>Effort</t>
        </is>
      </c>
      <c r="F11" s="32" t="inlineStr">
        <is>
          <t>Source</t>
        </is>
      </c>
      <c r="G11" s="32" t="inlineStr">
        <is>
          <t>Why</t>
        </is>
      </c>
    </row>
    <row r="12">
      <c r="A12" s="28" t="inlineStr">
        <is>
          <t>RepoC</t>
        </is>
      </c>
      <c r="B12" s="28" t="inlineStr">
        <is>
          <t>Enable CodeQL default setup</t>
        </is>
      </c>
      <c r="C12" s="29" t="inlineStr">
        <is>
          <t>Ready</t>
        </is>
      </c>
      <c r="D12" s="29" t="n">
        <v>0.12</v>
      </c>
      <c r="E12" s="28" t="inlineStr"/>
      <c r="F12" s="28" t="inlineStr">
        <is>
          <t>github</t>
        </is>
      </c>
      <c r="G12" s="28" t="inlineStr"/>
    </row>
  </sheetData>
  <autoFilter ref="A11:G12"/>
  <mergeCells count="2">
    <mergeCell ref="A2:G2"/>
    <mergeCell ref="A1:G1"/>
  </mergeCells>
  <hyperlinks>
    <hyperlink ref="J2" location="Dashboard!A1" display="Dashboard"/>
    <hyperlink ref="J3" location="'Review Queue'!A1" display="Review Queue"/>
    <hyperlink ref="J4" location="'Repo Detail'!A1" display="Repo Detail"/>
    <hyperlink ref="J5" location="'Run Changes'!A1" display="Run Changes"/>
    <hyperlink ref="J6" location="'Executive Summary'!A1" display="Executive Summary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A8A04"/>
    <outlinePr summaryBelow="1" summaryRight="1"/>
    <pageSetUpPr/>
  </sheetPr>
  <dimension ref="A1:J88"/>
  <sheetViews>
    <sheetView showGridLines="0" zoomScale="125" zoomScaleNormal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Print Pack</t>
        </is>
      </c>
      <c r="J1" s="2" t="inlineStr">
        <is>
          <t>Quick Links</t>
        </is>
      </c>
    </row>
    <row r="2">
      <c r="A2" s="7" t="inlineStr">
        <is>
          <t>Profile: default | Collection: all</t>
        </is>
      </c>
      <c r="J2" s="4" t="inlineStr">
        <is>
          <t>Dashboard</t>
        </is>
      </c>
    </row>
    <row r="3">
      <c r="J3" s="4" t="inlineStr">
        <is>
          <t>Review Queue</t>
        </is>
      </c>
    </row>
    <row r="4">
      <c r="A4" s="6" t="inlineStr">
        <is>
          <t>Page 1: Leadership Brief</t>
        </is>
      </c>
      <c r="D4" s="6" t="inlineStr">
        <is>
          <t>Workflow Guidance</t>
        </is>
      </c>
      <c r="J4" s="4" t="inlineStr">
        <is>
          <t>Repo Detail</t>
        </is>
      </c>
    </row>
    <row r="5">
      <c r="A5" t="inlineStr">
        <is>
          <t>Portfolio Grade</t>
        </is>
      </c>
      <c r="B5" t="inlineStr">
        <is>
          <t>B</t>
        </is>
      </c>
      <c r="D5" t="inlineStr">
        <is>
          <t>Product Mode</t>
        </is>
      </c>
      <c r="E5" t="inlineStr">
        <is>
          <t>Action Sync: use this artifact to confirm the local campaign story first, then preview or apply GitHub, GitHub Projects, or Notion mirrors only after the repo-level decision is settled.</t>
        </is>
      </c>
      <c r="J5" s="4" t="inlineStr">
        <is>
          <t>Run Changes</t>
        </is>
      </c>
    </row>
    <row r="6">
      <c r="A6" t="inlineStr">
        <is>
          <t>Average Score</t>
        </is>
      </c>
      <c r="B6" t="n">
        <v>0.65</v>
      </c>
      <c r="D6" t="inlineStr">
        <is>
          <t>Artifact Role</t>
        </is>
      </c>
      <c r="E6" t="inlineStr">
        <is>
          <t>Local report remains authoritative; campaigns, writeback, and GitHub Projects are managed mirrors of the decision already made here.</t>
        </is>
      </c>
      <c r="J6" s="4" t="inlineStr">
        <is>
          <t>Executive Summary</t>
        </is>
      </c>
    </row>
    <row r="7">
      <c r="A7" t="inlineStr">
        <is>
          <t>Portfolio Headline</t>
        </is>
      </c>
      <c r="B7" t="inlineStr">
        <is>
          <t>RepoC still needs security follow-through before the queue will calm down.</t>
        </is>
      </c>
      <c r="D7" t="inlineStr">
        <is>
          <t>Reading Order</t>
        </is>
      </c>
      <c r="E7" t="inlineStr">
        <is>
          <t>Read Review Queue first, then the control-center headline and primary target, then the campaign preview or writeback section before syncing outward.</t>
        </is>
      </c>
    </row>
    <row r="8">
      <c r="A8" t="inlineStr">
        <is>
          <t>Queue Pressure</t>
        </is>
      </c>
      <c r="B8" t="inlineStr">
        <is>
          <t>1 blocked, 1 urgent, 1 ready, and 1 deferred item(s) are currently in the queue.</t>
        </is>
      </c>
      <c r="D8" t="inlineStr">
        <is>
          <t>Next Best Step</t>
        </is>
      </c>
      <c r="E8" t="inlineStr">
        <is>
          <t>Keep the local artifact as the source of truth, then use campaign preview or writeback only when the repo decision is already clear.</t>
        </is>
      </c>
    </row>
    <row r="9">
      <c r="A9" t="inlineStr">
        <is>
          <t>Run Changes</t>
        </is>
      </c>
      <c r="B9" t="inlineStr">
        <is>
          <t>Average score moved +0.020; 0 meaningful improvements, 0 regressions, 1 promotions, and 1 demotions were recorded.</t>
        </is>
      </c>
      <c r="D9" t="inlineStr">
        <is>
          <t>Action Sync Readiness</t>
        </is>
      </c>
      <c r="E9" t="inlineStr">
        <is>
          <t>No current campaign needs Action Sync yet, so the safest next move is to keep the story local.</t>
        </is>
      </c>
    </row>
    <row r="10">
      <c r="A10" t="inlineStr">
        <is>
          <t>What To Do This Week</t>
        </is>
      </c>
      <c r="B10" t="inlineStr">
        <is>
          <t>Review RepoC first, then close RepoB's reopened checklist item. Start with RepoC if you need a concrete place to begin.</t>
        </is>
      </c>
      <c r="D10" t="inlineStr">
        <is>
          <t>Next Action Sync Step</t>
        </is>
      </c>
      <c r="E10" t="inlineStr">
        <is>
          <t>Stay local for now; no current campaign needs preview or apply.</t>
        </is>
      </c>
    </row>
    <row r="11">
      <c r="A11" t="inlineStr">
        <is>
          <t>Trust / Actionability</t>
        </is>
      </c>
      <c r="B11" t="inlineStr">
        <is>
          <t>verify-first — The recommendation is sound, but recent reopen noise means it should still be reviewed before acting.</t>
        </is>
      </c>
      <c r="D11" t="inlineStr">
        <is>
          <t>Apply Packet</t>
        </is>
      </c>
      <c r="E11" t="inlineStr">
        <is>
          <t>No current campaign has a safe execution handoff yet, so the local story should stay local for now.</t>
        </is>
      </c>
    </row>
    <row r="12">
      <c r="A12" t="inlineStr">
        <is>
          <t>Top Attention Items</t>
        </is>
      </c>
      <c r="B12" t="n">
        <v>4</v>
      </c>
      <c r="D12" t="inlineStr">
        <is>
          <t>Command Hint</t>
        </is>
      </c>
      <c r="E12" t="inlineStr">
        <is>
          <t>No Action Sync command is recommended yet.</t>
        </is>
      </c>
    </row>
    <row r="13">
      <c r="A13" t="inlineStr">
        <is>
          <t>What Changed</t>
        </is>
      </c>
      <c r="B13" t="inlineStr">
        <is>
          <t>RepoC drift needs review and RepoB reopened a release checklist item.</t>
        </is>
      </c>
      <c r="D13" t="inlineStr">
        <is>
          <t>Post-Apply Monitoring</t>
        </is>
      </c>
      <c r="E13" t="inlineStr">
        <is>
          <t>No recent Action Sync apply needs post-apply monitoring yet, so the local weekly story can stay local.</t>
        </is>
      </c>
    </row>
    <row r="14">
      <c r="A14" t="inlineStr">
        <is>
          <t>Why It Matters</t>
        </is>
      </c>
      <c r="B14" t="inlineStr">
        <is>
          <t>Live drift is still present, so security work should stay ahead of lower-pressure cleanup.</t>
        </is>
      </c>
      <c r="D14" t="inlineStr">
        <is>
          <t>Next Monitoring Step</t>
        </is>
      </c>
      <c r="E14" t="inlineStr">
        <is>
          <t>Stay local for now; no recent Action Sync apply needs post-apply follow-up yet.</t>
        </is>
      </c>
    </row>
    <row r="15">
      <c r="A15" t="inlineStr">
        <is>
          <t>Decision This Week</t>
        </is>
      </c>
      <c r="B15" t="inlineStr">
        <is>
          <t>Review RepoC first, then close RepoB's reopened checklist item.</t>
        </is>
      </c>
      <c r="D15" t="inlineStr">
        <is>
          <t>Campaign Tuning</t>
        </is>
      </c>
      <c r="E15" t="inlineStr">
        <is>
          <t>Campaign tuning stays neutral until there is enough outcome history to bias tied recommendations.</t>
        </is>
      </c>
    </row>
    <row r="16">
      <c r="A16" t="inlineStr">
        <is>
          <t>Follow-Through</t>
        </is>
      </c>
      <c r="B16" t="inlineStr">
        <is>
          <t>Act Now: Governed security drift is still unresolved. Next checkpoint: Use the next run or linked artifact to confirm whether the recommendation moved.</t>
        </is>
      </c>
      <c r="D16" t="inlineStr">
        <is>
          <t>Next Tie-Break Candidate</t>
        </is>
      </c>
      <c r="E16" t="inlineStr">
        <is>
          <t>No current campaign needs a tie-break candidate yet.</t>
        </is>
      </c>
    </row>
    <row r="17">
      <c r="A17" t="inlineStr">
        <is>
          <t>Primary Target</t>
        </is>
      </c>
      <c r="B17" t="inlineStr">
        <is>
          <t>No active target</t>
        </is>
      </c>
      <c r="D17" t="inlineStr">
        <is>
          <t>Historical Portfolio Intelligence</t>
        </is>
      </c>
      <c r="E17" t="inlineStr">
        <is>
          <t>Historical portfolio intelligence is still thin, so the weekly story should stay grounded in the current run and recent operator queue.</t>
        </is>
      </c>
    </row>
    <row r="18">
      <c r="A18" t="inlineStr">
        <is>
          <t>Why Top Target</t>
        </is>
      </c>
      <c r="B18" t="inlineStr">
        <is>
          <t>RepoC remains the top target because live drift is still open.</t>
        </is>
      </c>
      <c r="D18" t="inlineStr">
        <is>
          <t>Next Historical Focus</t>
        </is>
      </c>
      <c r="E18" t="inlineStr">
        <is>
          <t>Stay local for now; no repo has enough cross-run intervention evidence to demand a historical follow-up read yet.</t>
        </is>
      </c>
    </row>
    <row r="19">
      <c r="A19" t="inlineStr">
        <is>
          <t>Recovery / Retirement</t>
        </is>
      </c>
      <c r="B19" t="inlineStr">
        <is>
          <t>No follow-through recovery or escalation-retirement signal is currently surfaced.</t>
        </is>
      </c>
      <c r="D19" t="inlineStr">
        <is>
          <t>Automation Guidance</t>
        </is>
      </c>
      <c r="E19" t="inlineStr">
        <is>
          <t>Automation guidance stays quiet until a campaign has a clearly safe preview, follow-up, or manual-only posture.</t>
        </is>
      </c>
    </row>
    <row r="20">
      <c r="A20" t="inlineStr">
        <is>
          <t>Recovery Persistence</t>
        </is>
      </c>
      <c r="B20" t="inlineStr">
        <is>
          <t>No follow-through recovery persistence signal is currently surfaced.</t>
        </is>
      </c>
      <c r="D20" t="inlineStr">
        <is>
          <t>Next Safe Automation Step</t>
        </is>
      </c>
      <c r="E20" t="inlineStr">
        <is>
          <t>Stay local for now; no current campaign has a stronger safe automation posture than manual review.</t>
        </is>
      </c>
    </row>
    <row r="21">
      <c r="A21" t="inlineStr">
        <is>
          <t>Relapse Churn</t>
        </is>
      </c>
      <c r="B21" t="inlineStr">
        <is>
          <t>No relapse churn is currently surfaced.</t>
        </is>
      </c>
      <c r="D21" t="inlineStr">
        <is>
          <t>Approval Workflow</t>
        </is>
      </c>
      <c r="E21" t="inlineStr">
        <is>
          <t>No current approval needs review yet, so the approval workflow can stay local for now.</t>
        </is>
      </c>
    </row>
    <row r="22">
      <c r="A22" t="inlineStr">
        <is>
          <t>Recovery Freshness</t>
        </is>
      </c>
      <c r="B22" t="inlineStr">
        <is>
          <t>No follow-through recovery freshness signal is currently surfaced.</t>
        </is>
      </c>
      <c r="D22" t="inlineStr">
        <is>
          <t>Next Approval Review</t>
        </is>
      </c>
      <c r="E22" t="inlineStr">
        <is>
          <t>Stay local for now; no current approval needs review.</t>
        </is>
      </c>
    </row>
    <row r="23">
      <c r="A23" t="inlineStr">
        <is>
          <t>Recovery Memory Reset</t>
        </is>
      </c>
      <c r="B23" t="inlineStr">
        <is>
          <t>No follow-through recovery memory reset signal is currently surfaced.</t>
        </is>
      </c>
    </row>
    <row r="24">
      <c r="A24" t="inlineStr">
        <is>
          <t>Recovery Rebuild Strength</t>
        </is>
      </c>
      <c r="B24" t="inlineStr">
        <is>
          <t>No follow-through recovery rebuild-strength signal is currently surfaced.</t>
        </is>
      </c>
    </row>
    <row r="25">
      <c r="A25" t="inlineStr">
        <is>
          <t>Recovery Reacquisition</t>
        </is>
      </c>
      <c r="B25" t="inlineStr">
        <is>
          <t>No follow-through recovery reacquisition signal is currently surfaced.</t>
        </is>
      </c>
    </row>
    <row r="26">
      <c r="A26" t="inlineStr">
        <is>
          <t>Reacquisition Durability</t>
        </is>
      </c>
      <c r="B26" t="inlineStr">
        <is>
          <t>No follow-through reacquisition durability signal is currently surfaced.</t>
        </is>
      </c>
    </row>
    <row r="27">
      <c r="A27" t="inlineStr">
        <is>
          <t>Reacquisition Confidence</t>
        </is>
      </c>
      <c r="B27" t="inlineStr">
        <is>
          <t>No follow-through reacquisition confidence-consolidation signal is currently surfaced.</t>
        </is>
      </c>
    </row>
    <row r="28">
      <c r="A28" t="inlineStr">
        <is>
          <t>Operator Focus</t>
        </is>
      </c>
      <c r="B28" t="inlineStr">
        <is>
          <t>Act Now</t>
        </is>
      </c>
    </row>
    <row r="29">
      <c r="A29" t="inlineStr">
        <is>
          <t>Focus Summary</t>
        </is>
      </c>
      <c r="B29" t="inlineStr">
        <is>
          <t>2 item(s) need immediate action first, led by RepoC, RepoB.</t>
        </is>
      </c>
    </row>
    <row r="30">
      <c r="A30" t="inlineStr">
        <is>
          <t>Focus Line</t>
        </is>
      </c>
      <c r="B30" t="inlineStr">
        <is>
          <t>Act Now: Governed security drift is still unresolved.</t>
        </is>
      </c>
    </row>
    <row r="31">
      <c r="A31" t="inlineStr">
        <is>
          <t>What We Tried</t>
        </is>
      </c>
      <c r="B31" t="inlineStr">
        <is>
          <t>No recent intervention recorded</t>
        </is>
      </c>
    </row>
    <row r="32">
      <c r="A32" t="inlineStr">
        <is>
          <t>Last Outcome</t>
        </is>
      </c>
      <c r="B32" t="inlineStr">
        <is>
          <t>No Change</t>
        </is>
      </c>
    </row>
    <row r="33">
      <c r="A33" t="inlineStr">
        <is>
          <t>Resolution Evidence</t>
        </is>
      </c>
      <c r="B33" t="inlineStr">
        <is>
          <t>No resolution evidence is recorded yet.</t>
        </is>
      </c>
    </row>
    <row r="34">
      <c r="A34" t="inlineStr">
        <is>
          <t>Recovery Counts</t>
        </is>
      </c>
      <c r="B34" t="inlineStr">
        <is>
          <t>Confirmed resolved 0 | Reopened 0</t>
        </is>
      </c>
    </row>
    <row r="35">
      <c r="A35" t="inlineStr">
        <is>
          <t>Recommendation Confidence</t>
        </is>
      </c>
      <c r="B35" t="inlineStr">
        <is>
          <t>Low (0.00)</t>
        </is>
      </c>
    </row>
    <row r="36">
      <c r="A36" t="inlineStr">
        <is>
          <t>Confidence Rationale</t>
        </is>
      </c>
      <c r="B36" t="inlineStr">
        <is>
          <t>No confidence rationale is recorded yet.</t>
        </is>
      </c>
    </row>
    <row r="37">
      <c r="A37" t="inlineStr">
        <is>
          <t>Next Action Confidence</t>
        </is>
      </c>
      <c r="B37" t="inlineStr">
        <is>
          <t>Low (0.00)</t>
        </is>
      </c>
    </row>
    <row r="38">
      <c r="A38" t="inlineStr">
        <is>
          <t>Trust Policy</t>
        </is>
      </c>
      <c r="B38" t="inlineStr">
        <is>
          <t>Verify First</t>
        </is>
      </c>
    </row>
    <row r="39">
      <c r="A39" t="inlineStr">
        <is>
          <t>Trust Rationale</t>
        </is>
      </c>
      <c r="B39" t="inlineStr">
        <is>
          <t>The recommendation is sound, but recent reopen noise means it should still be reviewed before acting.</t>
        </is>
      </c>
    </row>
    <row r="40">
      <c r="A40" t="inlineStr">
        <is>
          <t>Trust Exception</t>
        </is>
      </c>
      <c r="B40" t="inlineStr">
        <is>
          <t>None — No trust-policy exception reason is recorded yet.</t>
        </is>
      </c>
    </row>
    <row r="41">
      <c r="A41" t="inlineStr">
        <is>
          <t>Trust Recovery</t>
        </is>
      </c>
      <c r="B41" t="inlineStr">
        <is>
          <t>None — No trust-recovery reason is recorded yet.</t>
        </is>
      </c>
    </row>
    <row r="42">
      <c r="A42" t="inlineStr">
        <is>
          <t>Recovery Confidence</t>
        </is>
      </c>
      <c r="B42" t="inlineStr">
        <is>
          <t>Low (0.00)</t>
        </is>
      </c>
    </row>
    <row r="43">
      <c r="A43" t="inlineStr">
        <is>
          <t>Exception Retirement</t>
        </is>
      </c>
      <c r="B43" t="inlineStr">
        <is>
          <t>None — No exception-retirement reason is recorded yet.</t>
        </is>
      </c>
    </row>
    <row r="44">
      <c r="A44" t="inlineStr">
        <is>
          <t>Retirement Summary</t>
        </is>
      </c>
      <c r="B44" t="inlineStr">
        <is>
          <t>No exception-retirement summary is recorded yet.</t>
        </is>
      </c>
    </row>
    <row r="45">
      <c r="A45" t="inlineStr">
        <is>
          <t>Policy Debt</t>
        </is>
      </c>
      <c r="B45" t="inlineStr">
        <is>
          <t>None — No policy-debt reason is recorded yet.</t>
        </is>
      </c>
    </row>
    <row r="46">
      <c r="A46" t="inlineStr">
        <is>
          <t>Class Normalization</t>
        </is>
      </c>
      <c r="B46" t="inlineStr">
        <is>
          <t>None — No class-normalization summary is recorded yet.</t>
        </is>
      </c>
    </row>
    <row r="47">
      <c r="A47" t="inlineStr">
        <is>
          <t>Class Memory</t>
        </is>
      </c>
      <c r="B47" t="inlineStr">
        <is>
          <t>Insufficient Data — No class-memory freshness reason is recorded yet.</t>
        </is>
      </c>
    </row>
    <row r="48">
      <c r="A48" t="inlineStr">
        <is>
          <t>Trust Decay</t>
        </is>
      </c>
      <c r="B48" t="inlineStr">
        <is>
          <t>None — No class-memory decay summary is recorded yet.</t>
        </is>
      </c>
    </row>
    <row r="49">
      <c r="A49" t="inlineStr">
        <is>
          <t>Class Reweighting</t>
        </is>
      </c>
      <c r="B49" t="inlineStr">
        <is>
          <t>Neutral (0.00) — No class reweighting summary is recorded yet.</t>
        </is>
      </c>
    </row>
    <row r="50">
      <c r="A50" t="inlineStr">
        <is>
          <t>Class Reweighting Why</t>
        </is>
      </c>
      <c r="B50" t="inlineStr">
        <is>
          <t>No class reweighting rationale is recorded yet.</t>
        </is>
      </c>
    </row>
    <row r="51">
      <c r="A51" t="inlineStr">
        <is>
          <t>Class Momentum</t>
        </is>
      </c>
      <c r="B51" t="inlineStr">
        <is>
          <t>Insufficient Data</t>
        </is>
      </c>
    </row>
    <row r="52">
      <c r="A52" t="inlineStr">
        <is>
          <t>Reweight Stability</t>
        </is>
      </c>
      <c r="B52" t="inlineStr">
        <is>
          <t>Watch — None: No class transition reason is recorded yet.</t>
        </is>
      </c>
    </row>
    <row r="53">
      <c r="A53" t="inlineStr">
        <is>
          <t>Transition Health</t>
        </is>
      </c>
      <c r="B53" t="inlineStr">
        <is>
          <t>None</t>
        </is>
      </c>
    </row>
    <row r="54">
      <c r="A54" t="inlineStr">
        <is>
          <t>Transition Resolution</t>
        </is>
      </c>
      <c r="B54" t="inlineStr">
        <is>
          <t>None</t>
        </is>
      </c>
    </row>
    <row r="55">
      <c r="A55" t="inlineStr">
        <is>
          <t>Transition Summary</t>
        </is>
      </c>
      <c r="B55" t="inlineStr">
        <is>
          <t>No pending transition summary is recorded yet.</t>
        </is>
      </c>
    </row>
    <row r="56">
      <c r="A56" t="inlineStr">
        <is>
          <t>Transition Closure</t>
        </is>
      </c>
      <c r="B56" t="inlineStr">
        <is>
          <t>Low</t>
        </is>
      </c>
    </row>
    <row r="57">
      <c r="A57" t="inlineStr">
        <is>
          <t>Transition Likely Outcome</t>
        </is>
      </c>
      <c r="B57" t="inlineStr">
        <is>
          <t>None</t>
        </is>
      </c>
    </row>
    <row r="58">
      <c r="A58" t="inlineStr">
        <is>
          <t>Pending Debt Freshness</t>
        </is>
      </c>
      <c r="B58" t="inlineStr">
        <is>
          <t>Insufficient Data</t>
        </is>
      </c>
    </row>
    <row r="59">
      <c r="A59" t="inlineStr">
        <is>
          <t>Closure Forecast</t>
        </is>
      </c>
      <c r="B59" t="inlineStr">
        <is>
          <t>Neutral</t>
        </is>
      </c>
    </row>
    <row r="60">
      <c r="A60" t="inlineStr">
        <is>
          <t>Reset Re-entry Rebuild Re-Entry Restore Re-Re-Re-Restore Persistence</t>
        </is>
      </c>
      <c r="B60" t="inlineStr">
        <is>
          <t>None</t>
        </is>
      </c>
    </row>
    <row r="61">
      <c r="A61" t="inlineStr">
        <is>
          <t>Reset Re-entry Rebuild Re-Entry Restore Re-Re-Re-Restore Churn Controls</t>
        </is>
      </c>
      <c r="B61" t="inlineStr">
        <is>
          <t>None</t>
        </is>
      </c>
    </row>
    <row r="62">
      <c r="A62" t="inlineStr">
        <is>
          <t>Closure Forecast Summary</t>
        </is>
      </c>
      <c r="B62" t="inlineStr">
        <is>
          <t>No closure-forecast summary is recorded yet.</t>
        </is>
      </c>
    </row>
    <row r="63">
      <c r="A63" t="inlineStr">
        <is>
          <t>Momentum Summary</t>
        </is>
      </c>
      <c r="B63" t="inlineStr">
        <is>
          <t>No class momentum summary is recorded yet.</t>
        </is>
      </c>
    </row>
    <row r="64">
      <c r="A64" t="inlineStr">
        <is>
          <t>Exception Learning</t>
        </is>
      </c>
      <c r="B64" t="inlineStr">
        <is>
          <t>None — No exception-pattern summary is recorded yet.</t>
        </is>
      </c>
    </row>
    <row r="65">
      <c r="A65" t="inlineStr">
        <is>
          <t>Recommendation Drift</t>
        </is>
      </c>
      <c r="B65" t="inlineStr">
        <is>
          <t>Stable — No recommendation-drift summary is recorded yet.</t>
        </is>
      </c>
    </row>
    <row r="66">
      <c r="A66" t="inlineStr">
        <is>
          <t>Adaptive Confidence</t>
        </is>
      </c>
      <c r="B66" t="inlineStr">
        <is>
          <t>No adaptive confidence summary is recorded yet.</t>
        </is>
      </c>
    </row>
    <row r="67">
      <c r="A67" t="inlineStr">
        <is>
          <t>Recommendation Quality</t>
        </is>
      </c>
      <c r="B67" t="inlineStr">
        <is>
          <t>No recommendation-quality summary is recorded yet.</t>
        </is>
      </c>
    </row>
    <row r="68">
      <c r="A68" t="inlineStr">
        <is>
          <t>Confidence Validation</t>
        </is>
      </c>
      <c r="B68" t="inlineStr">
        <is>
          <t>Insufficient Data — No confidence-calibration summary is recorded yet.</t>
        </is>
      </c>
    </row>
    <row r="69">
      <c r="A69" t="inlineStr">
        <is>
          <t>Calibration Snapshot</t>
        </is>
      </c>
      <c r="B69" t="inlineStr">
        <is>
          <t>High-confidence hit rate 0% | 0 reopened</t>
        </is>
      </c>
    </row>
    <row r="70">
      <c r="A70" s="6" t="inlineStr">
        <is>
          <t>Top Attention</t>
        </is>
      </c>
      <c r="E70" s="6" t="inlineStr">
        <is>
          <t>Top Repo Drilldowns</t>
        </is>
      </c>
    </row>
    <row r="71">
      <c r="A71" t="inlineStr">
        <is>
          <t>RepoC</t>
        </is>
      </c>
      <c r="B71" t="inlineStr">
        <is>
          <t>Act Now</t>
        </is>
      </c>
      <c r="C71" t="inlineStr">
        <is>
          <t>Governed security drift is still unresolved.</t>
        </is>
      </c>
      <c r="D71" t="inlineStr">
        <is>
          <t>Open the governed control preview and decide whether to apply CodeQL.</t>
        </is>
      </c>
      <c r="E71" t="inlineStr">
        <is>
          <t>RepoC</t>
        </is>
      </c>
      <c r="F71" t="inlineStr">
        <is>
          <t>Open the governed control preview and decide whether to apply CodeQL. No action rationale is recorded yet.</t>
        </is>
      </c>
    </row>
    <row r="72">
      <c r="A72" t="inlineStr">
        <is>
          <t>RepoB</t>
        </is>
      </c>
      <c r="B72" t="inlineStr">
        <is>
          <t>Act Now</t>
        </is>
      </c>
      <c r="C72" t="inlineStr">
        <is>
          <t>A previously quiet repo reopened a visible checklist item.</t>
        </is>
      </c>
      <c r="D72" t="inlineStr">
        <is>
          <t>Re-run the release checklist and close the missing item.</t>
        </is>
      </c>
      <c r="E72" t="inlineStr">
        <is>
          <t>RepoB</t>
        </is>
      </c>
      <c r="F72" t="inlineStr">
        <is>
          <t>Re-run the release checklist and close the missing item. No action rationale is recorded yet.</t>
        </is>
      </c>
    </row>
    <row r="73">
      <c r="A73" t="inlineStr">
        <is>
          <t>RepoA</t>
        </is>
      </c>
      <c r="B73" t="inlineStr">
        <is>
          <t>Watch Closely</t>
        </is>
      </c>
      <c r="C73" t="inlineStr">
        <is>
          <t>RepoA is healthy enough that a small polish task would keep it strong.</t>
        </is>
      </c>
      <c r="D73" t="inlineStr">
        <is>
          <t>Tidy the release notes and publish the next small maintenance release.</t>
        </is>
      </c>
      <c r="E73" t="inlineStr">
        <is>
          <t>RepoA</t>
        </is>
      </c>
      <c r="F73" t="inlineStr">
        <is>
          <t>Tidy the release notes and publish the next small maintenance release. No action rationale is recorded yet.</t>
        </is>
      </c>
    </row>
    <row r="74">
      <c r="A74" t="inlineStr">
        <is>
          <t>RepoA</t>
        </is>
      </c>
      <c r="B74" t="inlineStr">
        <is>
          <t>Watch Closely</t>
        </is>
      </c>
      <c r="C74" t="inlineStr">
        <is>
          <t>This is cleanup-only work with no current pressure.</t>
        </is>
      </c>
      <c r="D74" t="inlineStr">
        <is>
          <t>Leave this alone unless priorities change.</t>
        </is>
      </c>
    </row>
    <row r="75"/>
    <row r="76">
      <c r="A76" s="6" t="inlineStr">
        <is>
          <t>Page 2: Changes and Governance</t>
        </is>
      </c>
    </row>
    <row r="77">
      <c r="A77" s="2" t="inlineStr">
        <is>
          <t>Top Material Change Families</t>
        </is>
      </c>
      <c r="D77" s="2" t="inlineStr">
        <is>
          <t>Governance Highlights</t>
        </is>
      </c>
    </row>
    <row r="78">
      <c r="A78" t="inlineStr">
        <is>
          <t>Security Change</t>
        </is>
      </c>
      <c r="B78" t="n">
        <v>1</v>
      </c>
      <c r="D78" t="inlineStr">
        <is>
          <t>Status</t>
        </is>
      </c>
      <c r="E78" t="inlineStr">
        <is>
          <t>Drifted</t>
        </is>
      </c>
    </row>
    <row r="79">
      <c r="A79" t="inlineStr">
        <is>
          <t>Reopened Review</t>
        </is>
      </c>
      <c r="B79" t="n">
        <v>1</v>
      </c>
      <c r="D79" t="inlineStr">
        <is>
          <t>Needs Re-Approval</t>
        </is>
      </c>
      <c r="E79" t="inlineStr">
        <is>
          <t>no</t>
        </is>
      </c>
    </row>
    <row r="80">
      <c r="D80" t="inlineStr">
        <is>
          <t>Drift Count</t>
        </is>
      </c>
      <c r="E80" t="n">
        <v>1</v>
      </c>
    </row>
    <row r="81">
      <c r="D81" t="inlineStr">
        <is>
          <t>Rollback Available</t>
        </is>
      </c>
      <c r="E81" t="n">
        <v>1</v>
      </c>
    </row>
    <row r="82"/>
    <row r="83"/>
    <row r="84">
      <c r="A84" s="6" t="inlineStr">
        <is>
          <t>Compare Snapshot</t>
        </is>
      </c>
    </row>
    <row r="85">
      <c r="A85" t="inlineStr">
        <is>
          <t>Average Score Delta</t>
        </is>
      </c>
      <c r="B85" t="n">
        <v>0.02</v>
      </c>
    </row>
    <row r="86">
      <c r="A86" t="inlineStr">
        <is>
          <t>Repo Changes</t>
        </is>
      </c>
      <c r="B86" t="n">
        <v>2</v>
      </c>
    </row>
    <row r="87"/>
    <row r="88"/>
  </sheetData>
  <mergeCells count="2">
    <mergeCell ref="A2:F2"/>
    <mergeCell ref="A1:F1"/>
  </mergeCells>
  <hyperlinks>
    <hyperlink ref="J2" location="Dashboard!A1" display="Dashboard"/>
    <hyperlink ref="J3" location="'Review Queue'!A1" display="Review Queue"/>
    <hyperlink ref="J4" location="'Repo Detail'!A1" display="Repo Detail"/>
    <hyperlink ref="J5" location="'Run Changes'!A1" display="Run Changes"/>
    <hyperlink ref="J6" location="'Executive Summary'!A1" display="Executive Summary"/>
  </hyperlinks>
  <pageMargins left="0.75" right="0.75" top="1" bottom="1" header="0.5" footer="0.5"/>
  <pageSetup orientation="landscape"/>
</worksheet>
</file>

<file path=xl/worksheets/sheet18.xml><?xml version="1.0" encoding="utf-8"?>
<worksheet xmlns="http://schemas.openxmlformats.org/spreadsheetml/2006/main">
  <sheetPr>
    <tabColor rgb="00E65100"/>
    <outlinePr summaryBelow="1" summaryRight="1"/>
    <pageSetUpPr/>
  </sheetPr>
  <dimension ref="A1:F13"/>
  <sheetViews>
    <sheetView showGridLines="1" zoomScale="110" zoomScaleNormal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35" customWidth="1" min="3" max="3"/>
    <col width="32" customWidth="1" min="4" max="4"/>
    <col width="9" customWidth="1" min="5" max="5"/>
    <col width="12" customWidth="1" min="6" max="6"/>
  </cols>
  <sheetData>
    <row r="1">
      <c r="A1" s="6" t="inlineStr">
        <is>
          <t>Action Items — 4 prioritized improvements</t>
        </is>
      </c>
    </row>
    <row r="2"/>
    <row r="3"/>
    <row r="4"/>
    <row r="5"/>
    <row r="6"/>
    <row r="7">
      <c r="A7" s="6" t="inlineStr">
        <is>
          <t>All Actions (Prioritized)</t>
        </is>
      </c>
    </row>
    <row r="8" ht="30" customHeight="1">
      <c r="A8" s="32" t="inlineStr">
        <is>
          <t>#</t>
        </is>
      </c>
      <c r="B8" s="32" t="inlineStr">
        <is>
          <t>Repo</t>
        </is>
      </c>
      <c r="C8" s="32" t="inlineStr">
        <is>
          <t>Action</t>
        </is>
      </c>
      <c r="D8" s="32" t="inlineStr">
        <is>
          <t>Impact</t>
        </is>
      </c>
      <c r="E8" s="32" t="inlineStr">
        <is>
          <t>Effort</t>
        </is>
      </c>
      <c r="F8" s="32" t="inlineStr">
        <is>
          <t>Dimension</t>
        </is>
      </c>
    </row>
    <row r="9">
      <c r="A9" s="10" t="n">
        <v>1</v>
      </c>
      <c r="B9" s="10" t="inlineStr">
        <is>
          <t>RepoC</t>
        </is>
      </c>
      <c r="C9" s="10" t="inlineStr">
        <is>
          <t>Improve testing (currently 0.2)</t>
        </is>
      </c>
      <c r="D9" s="10" t="inlineStr">
        <is>
          <t>Close 0.110 gap to functional</t>
        </is>
      </c>
      <c r="E9" s="10" t="inlineStr">
        <is>
          <t>Med</t>
        </is>
      </c>
      <c r="F9" s="10" t="inlineStr">
        <is>
          <t>testing</t>
        </is>
      </c>
    </row>
    <row r="10">
      <c r="A10" s="28" t="n">
        <v>2</v>
      </c>
      <c r="B10" s="28" t="inlineStr">
        <is>
          <t>RepoC</t>
        </is>
      </c>
      <c r="C10" s="28" t="inlineStr">
        <is>
          <t>Improve security (currently 0.2)</t>
        </is>
      </c>
      <c r="D10" s="28" t="inlineStr">
        <is>
          <t>Close 0.110 gap to functional</t>
        </is>
      </c>
      <c r="E10" s="28" t="inlineStr">
        <is>
          <t>Med</t>
        </is>
      </c>
      <c r="F10" s="28" t="inlineStr">
        <is>
          <t>security</t>
        </is>
      </c>
    </row>
    <row r="11">
      <c r="A11" s="10" t="n">
        <v>3</v>
      </c>
      <c r="B11" s="10" t="inlineStr">
        <is>
          <t>RepoB</t>
        </is>
      </c>
      <c r="C11" s="10" t="inlineStr">
        <is>
          <t>Improve release (currently 0.5)</t>
        </is>
      </c>
      <c r="D11" s="10" t="inlineStr">
        <is>
          <t>Close 0.130 gap to shipped</t>
        </is>
      </c>
      <c r="E11" s="10" t="inlineStr">
        <is>
          <t>Med</t>
        </is>
      </c>
      <c r="F11" s="10" t="inlineStr">
        <is>
          <t>release</t>
        </is>
      </c>
    </row>
    <row r="12">
      <c r="A12" s="28" t="n">
        <v>4</v>
      </c>
      <c r="B12" s="28" t="inlineStr">
        <is>
          <t>RepoB</t>
        </is>
      </c>
      <c r="C12" s="28" t="inlineStr">
        <is>
          <t>Improve testing (currently 0.6)</t>
        </is>
      </c>
      <c r="D12" s="28" t="inlineStr">
        <is>
          <t>Close 0.130 gap to shipped</t>
        </is>
      </c>
      <c r="E12" s="28" t="inlineStr">
        <is>
          <t>Med</t>
        </is>
      </c>
      <c r="F12" s="28" t="inlineStr">
        <is>
          <t>testing</t>
        </is>
      </c>
    </row>
    <row r="13"/>
  </sheetData>
  <autoFilter ref="A8:F12"/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A1B9A"/>
    <outlinePr summaryBelow="1" summaryRight="1"/>
    <pageSetUpPr/>
  </sheetPr>
  <dimension ref="A1:I4"/>
  <sheetViews>
    <sheetView showGridLines="1" zoomScale="105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16" customWidth="1" min="4" max="4"/>
    <col width="13" customWidth="1" min="5" max="5"/>
    <col width="13" customWidth="1" min="6" max="6"/>
    <col width="16" customWidth="1" min="7" max="7"/>
    <col width="17" customWidth="1" min="8" max="8"/>
    <col width="13" customWidth="1" min="9" max="9"/>
  </cols>
  <sheetData>
    <row r="1" ht="30" customHeight="1">
      <c r="A1" s="32" t="inlineStr">
        <is>
          <t>Repo</t>
        </is>
      </c>
      <c r="B1" s="32" t="inlineStr">
        <is>
          <t>Commit Pattern</t>
        </is>
      </c>
      <c r="C1" s="32" t="inlineStr">
        <is>
          <t>Days Since Push</t>
        </is>
      </c>
      <c r="D1" s="32" t="inlineStr">
        <is>
          <t>Total Commits</t>
        </is>
      </c>
      <c r="E1" s="32" t="inlineStr">
        <is>
          <t>Recent 3mo</t>
        </is>
      </c>
      <c r="F1" s="32" t="inlineStr">
        <is>
          <t>Bus Factor</t>
        </is>
      </c>
      <c r="G1" s="32" t="inlineStr">
        <is>
          <t>Release Count</t>
        </is>
      </c>
      <c r="H1" s="32" t="inlineStr">
        <is>
          <t>Activity Score</t>
        </is>
      </c>
      <c r="I1" s="32" t="inlineStr">
        <is>
          <t>Tier</t>
        </is>
      </c>
    </row>
    <row r="2">
      <c r="A2" s="28" t="inlineStr">
        <is>
          <t>RepoA</t>
        </is>
      </c>
      <c r="B2" s="28" t="inlineStr">
        <is>
          <t>—</t>
        </is>
      </c>
      <c r="C2" s="28" t="inlineStr">
        <is>
          <t>—</t>
        </is>
      </c>
      <c r="D2" s="28" t="inlineStr">
        <is>
          <t>—</t>
        </is>
      </c>
      <c r="E2" s="28" t="inlineStr">
        <is>
          <t>—</t>
        </is>
      </c>
      <c r="F2" s="28" t="inlineStr">
        <is>
          <t>—</t>
        </is>
      </c>
      <c r="G2" s="28" t="inlineStr">
        <is>
          <t>—</t>
        </is>
      </c>
      <c r="H2" s="28" t="n">
        <v>0</v>
      </c>
      <c r="I2" s="28" t="inlineStr">
        <is>
          <t>shipped</t>
        </is>
      </c>
    </row>
    <row r="3">
      <c r="A3" s="10" t="inlineStr">
        <is>
          <t>RepoB</t>
        </is>
      </c>
      <c r="B3" s="10" t="inlineStr">
        <is>
          <t>—</t>
        </is>
      </c>
      <c r="C3" s="10" t="inlineStr">
        <is>
          <t>—</t>
        </is>
      </c>
      <c r="D3" s="10" t="inlineStr">
        <is>
          <t>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  <c r="H3" s="10" t="n">
        <v>0</v>
      </c>
      <c r="I3" s="10" t="inlineStr">
        <is>
          <t>functional</t>
        </is>
      </c>
    </row>
    <row r="4">
      <c r="A4" s="28" t="inlineStr">
        <is>
          <t>RepoC</t>
        </is>
      </c>
      <c r="B4" s="28" t="inlineStr">
        <is>
          <t>—</t>
        </is>
      </c>
      <c r="C4" s="28" t="inlineStr">
        <is>
          <t>—</t>
        </is>
      </c>
      <c r="D4" s="28" t="inlineStr">
        <is>
          <t>—</t>
        </is>
      </c>
      <c r="E4" s="28" t="inlineStr">
        <is>
          <t>—</t>
        </is>
      </c>
      <c r="F4" s="28" t="inlineStr">
        <is>
          <t>—</t>
        </is>
      </c>
      <c r="G4" s="28" t="inlineStr">
        <is>
          <t>—</t>
        </is>
      </c>
      <c r="H4" s="28" t="n">
        <v>0</v>
      </c>
      <c r="I4" s="28" t="inlineStr">
        <is>
          <t>wip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565C0"/>
    <outlinePr summaryBelow="1" summaryRight="1"/>
    <pageSetUpPr/>
  </sheetPr>
  <dimension ref="A1:AP6"/>
  <sheetViews>
    <sheetView showGridLines="1" zoomScale="105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7" customWidth="1" min="5" max="5"/>
    <col width="16" customWidth="1" min="6" max="6"/>
    <col width="13" customWidth="1" min="7" max="7"/>
    <col width="60" customWidth="1" min="8" max="8"/>
    <col width="13" customWidth="1" min="9" max="9"/>
    <col width="13" customWidth="1" min="10" max="10"/>
    <col width="60" customWidth="1" min="11" max="11"/>
    <col width="17" customWidth="1" min="12" max="12"/>
    <col width="13" customWidth="1" min="13" max="13"/>
    <col width="18" customWidth="1" min="14" max="14"/>
    <col width="10" customWidth="1" min="15" max="15"/>
    <col width="11" customWidth="1" min="16" max="16"/>
    <col width="14" customWidth="1" min="17" max="17"/>
    <col width="15" customWidth="1" min="18" max="18"/>
    <col width="13" customWidth="1" min="19" max="19"/>
    <col width="17" customWidth="1" min="20" max="20"/>
    <col width="8" customWidth="1" min="21" max="21"/>
    <col width="15" customWidth="1" min="22" max="22"/>
    <col width="13" customWidth="1" min="23" max="23"/>
    <col width="16" customWidth="1" min="24" max="24"/>
    <col width="12" customWidth="1" min="25" max="25"/>
    <col width="11" customWidth="1" min="26" max="26"/>
    <col width="8" customWidth="1" min="27" max="27"/>
    <col width="10" customWidth="1" min="28" max="28"/>
    <col width="28" customWidth="1" min="29" max="29"/>
    <col width="60" customWidth="1" min="30" max="30"/>
    <col width="22" customWidth="1" min="31" max="31"/>
    <col width="36" customWidth="1" min="32" max="32"/>
    <col width="15" customWidth="1" min="33" max="33"/>
    <col width="8" customWidth="1" min="34" max="34"/>
    <col width="11" customWidth="1" min="35" max="35"/>
    <col width="15" customWidth="1" min="36" max="36"/>
    <col width="10" customWidth="1" min="37" max="37"/>
    <col width="12" customWidth="1" min="38" max="38"/>
    <col width="8" customWidth="1" min="39" max="39"/>
    <col width="12" customWidth="1" min="40" max="40"/>
  </cols>
  <sheetData>
    <row r="1" ht="30" customHeight="1">
      <c r="A1" s="32" t="inlineStr">
        <is>
          <t>Repo</t>
        </is>
      </c>
      <c r="B1" s="32" t="inlineStr">
        <is>
          <t>Grade</t>
        </is>
      </c>
      <c r="C1" s="32" t="inlineStr">
        <is>
          <t>Score</t>
        </is>
      </c>
      <c r="D1" s="32" t="inlineStr">
        <is>
          <t>Interest</t>
        </is>
      </c>
      <c r="E1" s="32" t="inlineStr">
        <is>
          <t>Interest Grade</t>
        </is>
      </c>
      <c r="F1" s="32" t="inlineStr">
        <is>
          <t>Interest Tier</t>
        </is>
      </c>
      <c r="G1" s="32" t="inlineStr">
        <is>
          <t>Tier</t>
        </is>
      </c>
      <c r="H1" s="32" t="inlineStr">
        <is>
          <t>Badges</t>
        </is>
      </c>
      <c r="I1" s="32" t="inlineStr">
        <is>
          <t>Next Badge</t>
        </is>
      </c>
      <c r="J1" s="32" t="inlineStr">
        <is>
          <t>Language</t>
        </is>
      </c>
      <c r="K1" s="32" t="inlineStr">
        <is>
          <t>Topics</t>
        </is>
      </c>
      <c r="L1" s="32" t="inlineStr">
        <is>
          <t>Commit Pattern</t>
        </is>
      </c>
      <c r="M1" s="32" t="inlineStr">
        <is>
          <t>Bus Factor</t>
        </is>
      </c>
      <c r="N1" s="32" t="inlineStr">
        <is>
          <t>Days Since Push</t>
        </is>
      </c>
      <c r="O1" s="32" t="inlineStr">
        <is>
          <t>Commits</t>
        </is>
      </c>
      <c r="P1" s="32" t="inlineStr">
        <is>
          <t>Releases</t>
        </is>
      </c>
      <c r="Q1" s="32" t="inlineStr">
        <is>
          <t>Has Release</t>
        </is>
      </c>
      <c r="R1" s="32" t="inlineStr">
        <is>
          <t>README Stale</t>
        </is>
      </c>
      <c r="S1" s="32" t="inlineStr">
        <is>
          <t>Test Files</t>
        </is>
      </c>
      <c r="T1" s="32" t="inlineStr">
        <is>
          <t>Test Framework</t>
        </is>
      </c>
      <c r="U1" s="32" t="inlineStr">
        <is>
          <t>LOC</t>
        </is>
      </c>
      <c r="V1" s="32" t="inlineStr">
        <is>
          <t>TODO Density</t>
        </is>
      </c>
      <c r="W1" s="32" t="inlineStr">
        <is>
          <t>PR Merge %</t>
        </is>
      </c>
      <c r="X1" s="32" t="inlineStr">
        <is>
          <t>Comment Ratio</t>
        </is>
      </c>
      <c r="Y1" s="32" t="inlineStr">
        <is>
          <t>Dep Count</t>
        </is>
      </c>
      <c r="Z1" s="32" t="inlineStr">
        <is>
          <t>Libyears</t>
        </is>
      </c>
      <c r="AA1" s="32" t="inlineStr">
        <is>
          <t>Stars</t>
        </is>
      </c>
      <c r="AB1" s="32" t="inlineStr">
        <is>
          <t>Private</t>
        </is>
      </c>
      <c r="AC1" s="32" t="inlineStr">
        <is>
          <t>Flags</t>
        </is>
      </c>
      <c r="AD1" s="32" t="inlineStr">
        <is>
          <t>Description</t>
        </is>
      </c>
      <c r="AE1" s="32" t="inlineStr">
        <is>
          <t>Biggest Drag</t>
        </is>
      </c>
      <c r="AF1" s="32" t="inlineStr">
        <is>
          <t>Why This Grade</t>
        </is>
      </c>
      <c r="AG1" s="32" t="inlineStr">
        <is>
          <t>Tech Novelty</t>
        </is>
      </c>
      <c r="AH1" s="32" t="inlineStr">
        <is>
          <t>Burst</t>
        </is>
      </c>
      <c r="AI1" s="32" t="inlineStr">
        <is>
          <t>Ambition</t>
        </is>
      </c>
      <c r="AJ1" s="32" t="inlineStr">
        <is>
          <t>Storytelling</t>
        </is>
      </c>
      <c r="AK1" s="32" t="inlineStr">
        <is>
          <t>Created</t>
        </is>
      </c>
      <c r="AL1" s="32" t="inlineStr">
        <is>
          <t>Size (KB)</t>
        </is>
      </c>
      <c r="AM1" s="32" t="inlineStr">
        <is>
          <t>Trend</t>
        </is>
      </c>
      <c r="AN1" s="32" t="inlineStr">
        <is>
          <t>Risk Tier</t>
        </is>
      </c>
      <c r="AP1" s="2" t="inlineStr">
        <is>
          <t>Quick Links</t>
        </is>
      </c>
    </row>
    <row r="2">
      <c r="A2" s="49" t="inlineStr">
        <is>
          <t>RepoA</t>
        </is>
      </c>
      <c r="B2" s="50" t="inlineStr">
        <is>
          <t>A</t>
        </is>
      </c>
      <c r="C2" s="51" t="n">
        <v>0.88</v>
      </c>
      <c r="D2" s="51" t="n">
        <v>0.61</v>
      </c>
      <c r="E2" s="28" t="inlineStr">
        <is>
          <t>—</t>
        </is>
      </c>
      <c r="F2" s="28" t="inlineStr">
        <is>
          <t>—</t>
        </is>
      </c>
      <c r="G2" s="52" t="inlineStr">
        <is>
          <t>shipped</t>
        </is>
      </c>
      <c r="H2" s="53" t="inlineStr">
        <is>
          <t>fresh, tested</t>
        </is>
      </c>
      <c r="I2" s="28" t="inlineStr"/>
      <c r="J2" s="28" t="inlineStr">
        <is>
          <t>Python</t>
        </is>
      </c>
      <c r="K2" s="53" t="inlineStr">
        <is>
          <t>python, cli</t>
        </is>
      </c>
      <c r="L2" s="28" t="inlineStr">
        <is>
          <t>—</t>
        </is>
      </c>
      <c r="M2" s="28" t="inlineStr">
        <is>
          <t>—</t>
        </is>
      </c>
      <c r="N2" s="28" t="inlineStr">
        <is>
          <t>—</t>
        </is>
      </c>
      <c r="O2" s="28" t="inlineStr">
        <is>
          <t>—</t>
        </is>
      </c>
      <c r="P2" s="28" t="inlineStr">
        <is>
          <t>—</t>
        </is>
      </c>
      <c r="Q2" s="28" t="inlineStr">
        <is>
          <t>No</t>
        </is>
      </c>
      <c r="R2" s="28" t="inlineStr">
        <is>
          <t>No</t>
        </is>
      </c>
      <c r="S2" s="28" t="n">
        <v>0</v>
      </c>
      <c r="T2" s="28" t="inlineStr">
        <is>
          <t>—</t>
        </is>
      </c>
      <c r="U2" s="28" t="n">
        <v>0</v>
      </c>
      <c r="V2" s="28" t="n">
        <v>0</v>
      </c>
      <c r="W2" s="28" t="n">
        <v>0</v>
      </c>
      <c r="X2" s="28" t="n">
        <v>0</v>
      </c>
      <c r="Y2" s="28" t="inlineStr">
        <is>
          <t>—</t>
        </is>
      </c>
      <c r="Z2" s="28" t="inlineStr">
        <is>
          <t>—</t>
        </is>
      </c>
      <c r="AA2" s="28" t="n">
        <v>12</v>
      </c>
      <c r="AB2" s="28" t="inlineStr">
        <is>
          <t>No</t>
        </is>
      </c>
      <c r="AC2" s="28" t="inlineStr"/>
      <c r="AD2" s="53" t="inlineStr">
        <is>
          <t>A polished shipped project.</t>
        </is>
      </c>
      <c r="AE2" s="28" t="inlineStr">
        <is>
          <t>documentation (0.8)</t>
        </is>
      </c>
      <c r="AF2" s="28" t="inlineStr">
        <is>
          <t>A: documentation=0.8, testing=0.9</t>
        </is>
      </c>
      <c r="AG2" s="28" t="n">
        <v>0</v>
      </c>
      <c r="AH2" s="28" t="n">
        <v>0</v>
      </c>
      <c r="AI2" s="28" t="n">
        <v>0</v>
      </c>
      <c r="AJ2" s="28" t="n">
        <v>0</v>
      </c>
      <c r="AK2" s="28" t="inlineStr"/>
      <c r="AL2" s="28" t="n">
        <v>0</v>
      </c>
      <c r="AM2" s="28" t="inlineStr"/>
      <c r="AN2" s="28" t="inlineStr"/>
      <c r="AP2" s="4" t="inlineStr">
        <is>
          <t>Dashboard</t>
        </is>
      </c>
    </row>
    <row r="3">
      <c r="A3" s="54" t="inlineStr">
        <is>
          <t>RepoB</t>
        </is>
      </c>
      <c r="B3" s="55" t="inlineStr">
        <is>
          <t>C</t>
        </is>
      </c>
      <c r="C3" s="56" t="n">
        <v>0.62</v>
      </c>
      <c r="D3" s="56" t="n">
        <v>0.37</v>
      </c>
      <c r="E3" s="10" t="inlineStr">
        <is>
          <t>—</t>
        </is>
      </c>
      <c r="F3" s="10" t="inlineStr">
        <is>
          <t>—</t>
        </is>
      </c>
      <c r="G3" s="57" t="inlineStr">
        <is>
          <t>functional</t>
        </is>
      </c>
      <c r="H3" s="58" t="inlineStr"/>
      <c r="I3" s="10" t="inlineStr"/>
      <c r="J3" s="10" t="inlineStr">
        <is>
          <t>TypeScript</t>
        </is>
      </c>
      <c r="K3" s="58" t="inlineStr">
        <is>
          <t>typescript, web</t>
        </is>
      </c>
      <c r="L3" s="10" t="inlineStr">
        <is>
          <t>—</t>
        </is>
      </c>
      <c r="M3" s="10" t="inlineStr">
        <is>
          <t>—</t>
        </is>
      </c>
      <c r="N3" s="10" t="inlineStr">
        <is>
          <t>—</t>
        </is>
      </c>
      <c r="O3" s="10" t="inlineStr">
        <is>
          <t>—</t>
        </is>
      </c>
      <c r="P3" s="10" t="inlineStr">
        <is>
          <t>—</t>
        </is>
      </c>
      <c r="Q3" s="10" t="inlineStr">
        <is>
          <t>No</t>
        </is>
      </c>
      <c r="R3" s="10" t="inlineStr">
        <is>
          <t>No</t>
        </is>
      </c>
      <c r="S3" s="10" t="n">
        <v>0</v>
      </c>
      <c r="T3" s="10" t="inlineStr">
        <is>
          <t>—</t>
        </is>
      </c>
      <c r="U3" s="10" t="n">
        <v>0</v>
      </c>
      <c r="V3" s="10" t="n">
        <v>0</v>
      </c>
      <c r="W3" s="10" t="n">
        <v>0</v>
      </c>
      <c r="X3" s="10" t="n">
        <v>0</v>
      </c>
      <c r="Y3" s="10" t="inlineStr">
        <is>
          <t>—</t>
        </is>
      </c>
      <c r="Z3" s="10" t="inlineStr">
        <is>
          <t>—</t>
        </is>
      </c>
      <c r="AA3" s="10" t="n">
        <v>5</v>
      </c>
      <c r="AB3" s="10" t="inlineStr">
        <is>
          <t>No</t>
        </is>
      </c>
      <c r="AC3" s="10" t="inlineStr">
        <is>
          <t>release-checklist-open</t>
        </is>
      </c>
      <c r="AD3" s="58" t="inlineStr">
        <is>
          <t>A functional project with follow-through left to do.</t>
        </is>
      </c>
      <c r="AE3" s="10" t="inlineStr">
        <is>
          <t>release (0.5)</t>
        </is>
      </c>
      <c r="AF3" s="10" t="inlineStr">
        <is>
          <t>C: release=0.5, testing=0.6</t>
        </is>
      </c>
      <c r="AG3" s="10" t="n">
        <v>0</v>
      </c>
      <c r="AH3" s="10" t="n">
        <v>0</v>
      </c>
      <c r="AI3" s="10" t="n">
        <v>0</v>
      </c>
      <c r="AJ3" s="10" t="n">
        <v>0</v>
      </c>
      <c r="AK3" s="10" t="inlineStr"/>
      <c r="AL3" s="10" t="n">
        <v>0</v>
      </c>
      <c r="AM3" s="10" t="inlineStr"/>
      <c r="AN3" s="10" t="inlineStr"/>
      <c r="AP3" s="4" t="inlineStr">
        <is>
          <t>Review Queue</t>
        </is>
      </c>
    </row>
    <row r="4">
      <c r="A4" s="49" t="inlineStr">
        <is>
          <t>RepoC</t>
        </is>
      </c>
      <c r="B4" s="59" t="inlineStr">
        <is>
          <t>D</t>
        </is>
      </c>
      <c r="C4" s="51" t="n">
        <v>0.44</v>
      </c>
      <c r="D4" s="51" t="n">
        <v>0.16</v>
      </c>
      <c r="E4" s="28" t="inlineStr">
        <is>
          <t>—</t>
        </is>
      </c>
      <c r="F4" s="28" t="inlineStr">
        <is>
          <t>—</t>
        </is>
      </c>
      <c r="G4" s="60" t="inlineStr">
        <is>
          <t>wip</t>
        </is>
      </c>
      <c r="H4" s="53" t="inlineStr"/>
      <c r="I4" s="28" t="inlineStr"/>
      <c r="J4" s="28" t="inlineStr">
        <is>
          <t>Python</t>
        </is>
      </c>
      <c r="K4" s="53" t="inlineStr">
        <is>
          <t>python, security</t>
        </is>
      </c>
      <c r="L4" s="28" t="inlineStr">
        <is>
          <t>—</t>
        </is>
      </c>
      <c r="M4" s="28" t="inlineStr">
        <is>
          <t>—</t>
        </is>
      </c>
      <c r="N4" s="28" t="inlineStr">
        <is>
          <t>—</t>
        </is>
      </c>
      <c r="O4" s="28" t="inlineStr">
        <is>
          <t>—</t>
        </is>
      </c>
      <c r="P4" s="28" t="inlineStr">
        <is>
          <t>—</t>
        </is>
      </c>
      <c r="Q4" s="28" t="inlineStr">
        <is>
          <t>No</t>
        </is>
      </c>
      <c r="R4" s="28" t="inlineStr">
        <is>
          <t>No</t>
        </is>
      </c>
      <c r="S4" s="28" t="n">
        <v>0</v>
      </c>
      <c r="T4" s="28" t="inlineStr">
        <is>
          <t>—</t>
        </is>
      </c>
      <c r="U4" s="28" t="n">
        <v>0</v>
      </c>
      <c r="V4" s="28" t="n">
        <v>0</v>
      </c>
      <c r="W4" s="28" t="n">
        <v>0</v>
      </c>
      <c r="X4" s="28" t="n">
        <v>0</v>
      </c>
      <c r="Y4" s="28" t="inlineStr">
        <is>
          <t>—</t>
        </is>
      </c>
      <c r="Z4" s="28" t="inlineStr">
        <is>
          <t>—</t>
        </is>
      </c>
      <c r="AA4" s="28" t="n">
        <v>1</v>
      </c>
      <c r="AB4" s="28" t="inlineStr">
        <is>
          <t>No</t>
        </is>
      </c>
      <c r="AC4" s="28" t="inlineStr">
        <is>
          <t>no-tests, security-review</t>
        </is>
      </c>
      <c r="AD4" s="53" t="inlineStr">
        <is>
          <t>A risky work-in-progress project.</t>
        </is>
      </c>
      <c r="AE4" s="28" t="inlineStr">
        <is>
          <t>testing (0.2)</t>
        </is>
      </c>
      <c r="AF4" s="28" t="inlineStr">
        <is>
          <t>D: testing=0.2, security=0.2</t>
        </is>
      </c>
      <c r="AG4" s="28" t="n">
        <v>0</v>
      </c>
      <c r="AH4" s="28" t="n">
        <v>0</v>
      </c>
      <c r="AI4" s="28" t="n">
        <v>0</v>
      </c>
      <c r="AJ4" s="28" t="n">
        <v>0</v>
      </c>
      <c r="AK4" s="28" t="inlineStr"/>
      <c r="AL4" s="28" t="n">
        <v>0</v>
      </c>
      <c r="AM4" s="28" t="inlineStr"/>
      <c r="AN4" s="28" t="inlineStr"/>
      <c r="AP4" s="4" t="inlineStr">
        <is>
          <t>Repo Detail</t>
        </is>
      </c>
    </row>
    <row r="5">
      <c r="A5" s="2" t="inlineStr">
        <is>
          <t>SUMMARY</t>
        </is>
      </c>
      <c r="C5" s="2">
        <f>AVERAGE(C2:C4)</f>
        <v/>
      </c>
      <c r="D5" s="2">
        <f>AVERAGE(D2:D4)</f>
        <v/>
      </c>
      <c r="AP5" s="4" t="inlineStr">
        <is>
          <t>Run Changes</t>
        </is>
      </c>
    </row>
    <row r="6">
      <c r="AP6" s="4" t="inlineStr">
        <is>
          <t>Executive Summary</t>
        </is>
      </c>
    </row>
  </sheetData>
  <autoFilter ref="A1:AN4"/>
  <conditionalFormatting sqref="C2:C4">
    <cfRule type="dataBar" priority="1">
      <dataBar>
        <cfvo type="num" val="0"/>
        <cfvo type="num" val="1"/>
        <color rgb="00166534"/>
      </dataBar>
    </cfRule>
    <cfRule type="iconSet" priority="3">
      <iconSet iconSet="3TrafficLights1">
        <cfvo type="num" val="0"/>
        <cfvo type="num" val="0.55"/>
        <cfvo type="num" val="0.7"/>
      </iconSet>
    </cfRule>
  </conditionalFormatting>
  <conditionalFormatting sqref="D2:D4">
    <cfRule type="dataBar" priority="2">
      <dataBar>
        <cfvo type="num" val="0"/>
        <cfvo type="num" val="1"/>
        <color rgb="000EA5E9"/>
      </dataBar>
    </cfRule>
  </conditionalFormatting>
  <dataValidations count="3">
    <dataValidation sqref="C2:C4" showDropDown="0" showInputMessage="0" showErrorMessage="0" allowBlank="1" promptTitle="Overall Score" prompt="Weighted average of 10 dimensions. See Score Explainer sheet."/>
    <dataValidation sqref="D2:D4" showDropDown="0" showInputMessage="0" showErrorMessage="0" allowBlank="1" promptTitle="Interest Score" prompt="How interesting/ambitious (separate from completeness). Based on tech novelty, commit patterns, scope."/>
    <dataValidation sqref="B2:B4" showDropDown="0" showInputMessage="0" showErrorMessage="0" allowBlank="1" promptTitle="Letter Grade" prompt="A (&gt;=85%) B (&gt;=70%) C (&gt;=55%) D (&gt;=35%) F (&lt;35%)"/>
  </dataValidations>
  <hyperlinks>
    <hyperlink xmlns:r="http://schemas.openxmlformats.org/officeDocument/2006/relationships" ref="A2" r:id="rId1"/>
    <hyperlink ref="AP2" location="Dashboard!A1" display="Dashboard"/>
    <hyperlink xmlns:r="http://schemas.openxmlformats.org/officeDocument/2006/relationships" ref="A3" r:id="rId2"/>
    <hyperlink ref="AP3" location="'Review Queue'!A1" display="Review Queue"/>
    <hyperlink xmlns:r="http://schemas.openxmlformats.org/officeDocument/2006/relationships" ref="A4" r:id="rId3"/>
    <hyperlink ref="AP4" location="'Repo Detail'!A1" display="Repo Detail"/>
    <hyperlink ref="AP5" location="'Run Changes'!A1" display="Run Changes"/>
    <hyperlink ref="AP6" location="'Executive Summary'!A1" display="Executive Summary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C3AED"/>
    <outlinePr summaryBelow="1" summaryRight="1"/>
    <pageSetUpPr/>
  </sheetPr>
  <dimension ref="A1:E13"/>
  <sheetViews>
    <sheetView showGridLines="1" zoomScale="110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7" customWidth="1" min="3" max="3"/>
  </cols>
  <sheetData>
    <row r="1">
      <c r="A1" s="6" t="inlineStr">
        <is>
          <t>Badge Dashboard</t>
        </is>
      </c>
    </row>
    <row r="2">
      <c r="A2" s="45" t="inlineStr">
        <is>
          <t>Total badges earned: 2 across 3 repos</t>
        </is>
      </c>
    </row>
    <row r="3"/>
    <row r="4" ht="30" customHeight="1">
      <c r="A4" s="32" t="inlineStr">
        <is>
          <t>Badge</t>
        </is>
      </c>
      <c r="B4" s="32" t="inlineStr">
        <is>
          <t>Repos Earned</t>
        </is>
      </c>
      <c r="C4" s="32" t="inlineStr">
        <is>
          <t>% of Portfolio</t>
        </is>
      </c>
    </row>
    <row r="5">
      <c r="A5" s="10" t="inlineStr">
        <is>
          <t>fresh</t>
        </is>
      </c>
      <c r="B5" s="10" t="n">
        <v>1</v>
      </c>
      <c r="C5" s="10" t="inlineStr">
        <is>
          <t>33%</t>
        </is>
      </c>
    </row>
    <row r="6">
      <c r="A6" s="10" t="inlineStr">
        <is>
          <t>tested</t>
        </is>
      </c>
      <c r="B6" s="10" t="n">
        <v>1</v>
      </c>
      <c r="C6" s="10" t="inlineStr">
        <is>
          <t>33%</t>
        </is>
      </c>
    </row>
    <row r="7"/>
    <row r="8"/>
    <row r="9">
      <c r="A9" s="6" t="inlineStr">
        <is>
          <t>Achievement Board</t>
        </is>
      </c>
    </row>
    <row r="10">
      <c r="A10" s="61" t="inlineStr">
        <is>
          <t>Repo</t>
        </is>
      </c>
      <c r="B10" s="61" t="inlineStr">
        <is>
          <t>Badges</t>
        </is>
      </c>
    </row>
    <row r="11">
      <c r="A11" s="62" t="inlineStr">
        <is>
          <t>RepoA</t>
        </is>
      </c>
      <c r="B11" s="62" t="n">
        <v>2</v>
      </c>
    </row>
    <row r="12">
      <c r="A12" s="62" t="inlineStr">
        <is>
          <t>RepoB</t>
        </is>
      </c>
      <c r="B12" s="62" t="n">
        <v>0</v>
      </c>
    </row>
    <row r="13">
      <c r="A13" s="62" t="inlineStr">
        <is>
          <t>RepoC</t>
        </is>
      </c>
      <c r="B13" s="62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000891B2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35" customWidth="1" min="4" max="4"/>
    <col width="18" customWidth="1" min="5" max="5"/>
    <col width="12" customWidth="1" min="6" max="6"/>
    <col width="8" customWidth="1" min="7" max="7"/>
    <col width="8" customWidth="1" min="8" max="8"/>
  </cols>
  <sheetData>
    <row r="1">
      <c r="A1" s="63" t="inlineStr">
        <is>
          <t>Changes Since Last Audit</t>
        </is>
      </c>
    </row>
    <row r="2"/>
    <row r="3">
      <c r="A3" s="2" t="inlineStr">
        <is>
          <t>Promotions</t>
        </is>
      </c>
      <c r="B3" t="n">
        <v>1</v>
      </c>
      <c r="C3" s="2" t="inlineStr">
        <is>
          <t>Demotions</t>
        </is>
      </c>
      <c r="D3" t="n">
        <v>1</v>
      </c>
      <c r="E3" s="2" t="inlineStr">
        <is>
          <t>Avg Score Delta</t>
        </is>
      </c>
      <c r="F3" t="n">
        <v>0.02</v>
      </c>
    </row>
    <row r="4"/>
    <row r="5">
      <c r="A5" s="6" t="inlineStr">
        <is>
          <t>Tier Changes</t>
        </is>
      </c>
    </row>
    <row r="6" ht="30" customHeight="1">
      <c r="A6" s="32" t="inlineStr">
        <is>
          <t>Repo</t>
        </is>
      </c>
      <c r="B6" s="32" t="inlineStr">
        <is>
          <t>Old Tier</t>
        </is>
      </c>
      <c r="C6" s="32" t="inlineStr">
        <is>
          <t>New Tier</t>
        </is>
      </c>
      <c r="D6" s="32" t="inlineStr">
        <is>
          <t>Old Score</t>
        </is>
      </c>
      <c r="E6" s="32" t="inlineStr">
        <is>
          <t>New Score</t>
        </is>
      </c>
      <c r="F6" s="32" t="inlineStr">
        <is>
          <t>Direction</t>
        </is>
      </c>
    </row>
    <row r="7">
      <c r="A7" t="inlineStr">
        <is>
          <t>RepoA</t>
        </is>
      </c>
      <c r="B7" t="inlineStr">
        <is>
          <t>functional</t>
        </is>
      </c>
      <c r="C7" t="inlineStr">
        <is>
          <t>shipped</t>
        </is>
      </c>
      <c r="D7" t="n">
        <v>0.79</v>
      </c>
      <c r="E7" t="n">
        <v>0.88</v>
      </c>
      <c r="F7" s="64" t="inlineStr">
        <is>
          <t>promotion</t>
        </is>
      </c>
    </row>
    <row r="8">
      <c r="A8" t="inlineStr">
        <is>
          <t>RepoC</t>
        </is>
      </c>
      <c r="B8" t="inlineStr">
        <is>
          <t>functional</t>
        </is>
      </c>
      <c r="C8" t="inlineStr">
        <is>
          <t>wip</t>
        </is>
      </c>
      <c r="D8" t="n">
        <v>0.52</v>
      </c>
      <c r="E8" t="n">
        <v>0.44</v>
      </c>
      <c r="F8" s="65" t="inlineStr">
        <is>
          <t>demotion</t>
        </is>
      </c>
    </row>
    <row r="9"/>
    <row r="10">
      <c r="A10" s="6" t="inlineStr">
        <is>
          <t>Significant Score Changes</t>
        </is>
      </c>
    </row>
    <row r="11" ht="30" customHeight="1">
      <c r="A11" s="32" t="inlineStr">
        <is>
          <t>Repo</t>
        </is>
      </c>
      <c r="B11" s="32" t="inlineStr">
        <is>
          <t>Old Score</t>
        </is>
      </c>
      <c r="C11" s="32" t="inlineStr">
        <is>
          <t>New Score</t>
        </is>
      </c>
      <c r="D11" s="32" t="inlineStr">
        <is>
          <t>Delta</t>
        </is>
      </c>
    </row>
    <row r="12">
      <c r="A12" t="inlineStr">
        <is>
          <t>RepoA</t>
        </is>
      </c>
      <c r="B12" t="n">
        <v>0.79</v>
      </c>
      <c r="C12" t="n">
        <v>0.88</v>
      </c>
      <c r="D12" s="64" t="n">
        <v>0.09</v>
      </c>
    </row>
    <row r="13">
      <c r="A13" t="inlineStr">
        <is>
          <t>RepoB</t>
        </is>
      </c>
      <c r="B13" t="n">
        <v>0.68</v>
      </c>
      <c r="C13" t="n">
        <v>0.62</v>
      </c>
      <c r="D13" s="65" t="n">
        <v>-0.06</v>
      </c>
    </row>
    <row r="14">
      <c r="A14" t="inlineStr">
        <is>
          <t>RepoC</t>
        </is>
      </c>
      <c r="B14" t="n">
        <v>0.52</v>
      </c>
      <c r="C14" t="n">
        <v>0.44</v>
      </c>
      <c r="D14" s="65" t="n">
        <v>-0.08</v>
      </c>
    </row>
    <row r="15"/>
    <row r="16">
      <c r="A16" s="6" t="inlineStr">
        <is>
          <t>Material Changes</t>
        </is>
      </c>
    </row>
    <row r="17" ht="30" customHeight="1">
      <c r="A17" s="32" t="inlineStr">
        <is>
          <t>Repo</t>
        </is>
      </c>
      <c r="B17" s="32" t="inlineStr">
        <is>
          <t>Type</t>
        </is>
      </c>
      <c r="C17" s="32" t="inlineStr">
        <is>
          <t>Severity</t>
        </is>
      </c>
      <c r="D17" s="32" t="inlineStr">
        <is>
          <t>Title</t>
        </is>
      </c>
    </row>
    <row r="18">
      <c r="A18" t="inlineStr">
        <is>
          <t>RepoB</t>
        </is>
      </c>
      <c r="B18" t="inlineStr">
        <is>
          <t>reopened-review</t>
        </is>
      </c>
      <c r="C18" t="n">
        <v>0.51</v>
      </c>
      <c r="D18" t="inlineStr">
        <is>
          <t>Release checklist reopened</t>
        </is>
      </c>
    </row>
    <row r="19">
      <c r="A19" t="inlineStr">
        <is>
          <t>RepoC</t>
        </is>
      </c>
      <c r="B19" t="inlineStr">
        <is>
          <t>security-change</t>
        </is>
      </c>
      <c r="C19" t="n">
        <v>0.84</v>
      </c>
      <c r="D19" t="inlineStr">
        <is>
          <t>Security posture needs attention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C3AED"/>
    <outlinePr summaryBelow="1" summaryRight="1"/>
    <pageSetUpPr/>
  </sheetPr>
  <dimension ref="A1:F13"/>
  <sheetViews>
    <sheetView showGridLines="1" zoomScale="110" zoomScaleNormal="10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20" customWidth="1" min="4" max="4"/>
    <col width="11" customWidth="1" min="5" max="5"/>
    <col width="16" customWidth="1" min="6" max="6"/>
  </cols>
  <sheetData>
    <row r="1">
      <c r="A1" s="63" t="inlineStr">
        <is>
          <t>Compare Summary</t>
        </is>
      </c>
    </row>
    <row r="2">
      <c r="A2" t="inlineStr">
        <is>
          <t>Previous: 2026-04-05</t>
        </is>
      </c>
    </row>
    <row r="3">
      <c r="A3" t="inlineStr">
        <is>
          <t>Current: 2026-04-12</t>
        </is>
      </c>
    </row>
    <row r="4">
      <c r="A4" t="inlineStr">
        <is>
          <t>Average score delta: +0.020</t>
        </is>
      </c>
    </row>
    <row r="5"/>
    <row r="6" ht="30" customHeight="1">
      <c r="A6" s="32" t="inlineStr">
        <is>
          <t>Lens</t>
        </is>
      </c>
      <c r="B6" s="32" t="inlineStr">
        <is>
          <t>Delta</t>
        </is>
      </c>
    </row>
    <row r="7">
      <c r="A7" s="10" t="inlineStr">
        <is>
          <t>ship_readiness</t>
        </is>
      </c>
      <c r="B7" s="30" t="n">
        <v>0.03</v>
      </c>
    </row>
    <row r="8">
      <c r="A8" s="10" t="inlineStr">
        <is>
          <t>security_posture</t>
        </is>
      </c>
      <c r="B8" s="30" t="n">
        <v>-0.01</v>
      </c>
    </row>
    <row r="9"/>
    <row r="10"/>
    <row r="11" ht="30" customHeight="1">
      <c r="A11" s="32" t="inlineStr">
        <is>
          <t>Repo</t>
        </is>
      </c>
      <c r="B11" s="32" t="inlineStr">
        <is>
          <t>Score Delta</t>
        </is>
      </c>
      <c r="C11" s="32" t="inlineStr">
        <is>
          <t>Tier Change</t>
        </is>
      </c>
      <c r="D11" s="32" t="inlineStr">
        <is>
          <t>Security</t>
        </is>
      </c>
      <c r="E11" s="32" t="inlineStr">
        <is>
          <t>Hotspots</t>
        </is>
      </c>
      <c r="F11" s="32" t="inlineStr">
        <is>
          <t>Collections</t>
        </is>
      </c>
    </row>
    <row r="12">
      <c r="A12" s="10" t="inlineStr">
        <is>
          <t>RepoA</t>
        </is>
      </c>
      <c r="B12" s="30" t="n">
        <v>0.09</v>
      </c>
      <c r="C12" s="10" t="inlineStr">
        <is>
          <t>functional -&gt; shipped</t>
        </is>
      </c>
      <c r="D12" s="10" t="inlineStr">
        <is>
          <t>watch -&gt; healthy</t>
        </is>
      </c>
      <c r="E12" s="10" t="inlineStr">
        <is>
          <t>2 -&gt; 1</t>
        </is>
      </c>
      <c r="F12" s="10" t="inlineStr">
        <is>
          <t>— -&gt; showcase</t>
        </is>
      </c>
    </row>
    <row r="13">
      <c r="A13" s="10" t="inlineStr">
        <is>
          <t>RepoC</t>
        </is>
      </c>
      <c r="B13" s="30" t="n">
        <v>-0.08</v>
      </c>
      <c r="C13" s="10" t="inlineStr">
        <is>
          <t>functional -&gt; wip</t>
        </is>
      </c>
      <c r="D13" s="10" t="inlineStr">
        <is>
          <t>watch -&gt; critical</t>
        </is>
      </c>
      <c r="E13" s="10" t="inlineStr">
        <is>
          <t>1 -&gt; 1</t>
        </is>
      </c>
      <c r="F13" s="10" t="inlineStr">
        <is>
          <t>— -&gt; —</t>
        </is>
      </c>
    </row>
  </sheetData>
  <autoFilter ref="A11:F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Campaign Type</t>
        </is>
      </c>
      <c r="B1" s="32" t="inlineStr">
        <is>
          <t>Label</t>
        </is>
      </c>
      <c r="C1" s="32" t="inlineStr">
        <is>
          <t>Automation Posture</t>
        </is>
      </c>
      <c r="D1" s="32" t="inlineStr">
        <is>
          <t>Review Required</t>
        </is>
      </c>
      <c r="E1" s="32" t="inlineStr">
        <is>
          <t>Requires Approval</t>
        </is>
      </c>
      <c r="F1" s="32" t="inlineStr">
        <is>
          <t>Recommended Command</t>
        </is>
      </c>
      <c r="G1" s="32" t="inlineStr">
        <is>
          <t>Recommended Follow Up</t>
        </is>
      </c>
      <c r="H1" s="32" t="inlineStr">
        <is>
          <t>Summary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Campaign Type</t>
        </is>
      </c>
      <c r="B1" s="32" t="inlineStr">
        <is>
          <t>Label</t>
        </is>
      </c>
      <c r="C1" s="32" t="inlineStr">
        <is>
          <t>Latest Target</t>
        </is>
      </c>
      <c r="D1" s="32" t="inlineStr">
        <is>
          <t>Latest Run Mode</t>
        </is>
      </c>
      <c r="E1" s="32" t="inlineStr">
        <is>
          <t>Recent Apply Count</t>
        </is>
      </c>
      <c r="F1" s="32" t="inlineStr">
        <is>
          <t>Monitored Repo Count</t>
        </is>
      </c>
      <c r="G1" s="32" t="inlineStr">
        <is>
          <t>Monitoring State</t>
        </is>
      </c>
      <c r="H1" s="32" t="inlineStr">
        <is>
          <t>Pressure Effect</t>
        </is>
      </c>
      <c r="I1" s="32" t="inlineStr">
        <is>
          <t>Drift State</t>
        </is>
      </c>
      <c r="J1" s="32" t="inlineStr">
        <is>
          <t>Reopen State</t>
        </is>
      </c>
      <c r="K1" s="32" t="inlineStr">
        <is>
          <t>Rollback State</t>
        </is>
      </c>
      <c r="L1" s="32" t="inlineStr">
        <is>
          <t>Follow-Up Recommendation</t>
        </is>
      </c>
      <c r="M1" s="32" t="inlineStr">
        <is>
          <t>Top Repos</t>
        </is>
      </c>
      <c r="N1" s="32" t="inlineStr">
        <is>
          <t>Summary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Key</t>
        </is>
      </c>
      <c r="C1" s="32" t="inlineStr">
        <is>
          <t>Title</t>
        </is>
      </c>
      <c r="D1" s="32" t="inlineStr">
        <is>
          <t>Lens</t>
        </is>
      </c>
      <c r="E1" s="32" t="inlineStr">
        <is>
          <t>Effort</t>
        </is>
      </c>
      <c r="F1" s="32" t="inlineStr">
        <is>
          <t>Confidence</t>
        </is>
      </c>
      <c r="G1" s="32" t="inlineStr">
        <is>
          <t>Expected Lens Delta</t>
        </is>
      </c>
      <c r="H1" s="32" t="inlineStr">
        <is>
          <t>Expected Tier Movement</t>
        </is>
      </c>
      <c r="I1" s="32" t="inlineStr">
        <is>
          <t>Rationale</t>
        </is>
      </c>
    </row>
    <row r="2">
      <c r="A2" s="10" t="inlineStr">
        <is>
          <t>RepoA</t>
        </is>
      </c>
      <c r="B2" s="10" t="inlineStr"/>
      <c r="C2" s="10" t="inlineStr">
        <is>
          <t>Publish the next maintenance release</t>
        </is>
      </c>
      <c r="D2" s="10" t="inlineStr"/>
      <c r="E2" s="10" t="inlineStr"/>
      <c r="F2" s="30" t="n">
        <v>0</v>
      </c>
      <c r="G2" s="30" t="n">
        <v>0</v>
      </c>
      <c r="H2" s="10" t="inlineStr"/>
      <c r="I2" s="10" t="inlineStr"/>
    </row>
    <row r="3">
      <c r="A3" s="10" t="inlineStr">
        <is>
          <t>RepoB</t>
        </is>
      </c>
      <c r="B3" s="10" t="inlineStr"/>
      <c r="C3" s="10" t="inlineStr">
        <is>
          <t>Close the reopened release item</t>
        </is>
      </c>
      <c r="D3" s="10" t="inlineStr"/>
      <c r="E3" s="10" t="inlineStr"/>
      <c r="F3" s="30" t="n">
        <v>0</v>
      </c>
      <c r="G3" s="30" t="n">
        <v>0</v>
      </c>
      <c r="H3" s="10" t="inlineStr"/>
      <c r="I3" s="10" t="inlineStr"/>
    </row>
    <row r="4">
      <c r="A4" s="10" t="inlineStr">
        <is>
          <t>RepoC</t>
        </is>
      </c>
      <c r="B4" s="10" t="inlineStr"/>
      <c r="C4" s="10" t="inlineStr">
        <is>
          <t>Preview governance controls</t>
        </is>
      </c>
      <c r="D4" s="10" t="inlineStr"/>
      <c r="E4" s="10" t="inlineStr"/>
      <c r="F4" s="30" t="n">
        <v>0</v>
      </c>
      <c r="G4" s="30" t="n">
        <v>0</v>
      </c>
      <c r="H4" s="10" t="inlineStr"/>
      <c r="I4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Approval ID</t>
        </is>
      </c>
      <c r="B1" s="32" t="inlineStr">
        <is>
          <t>Subject Type</t>
        </is>
      </c>
      <c r="C1" s="32" t="inlineStr">
        <is>
          <t>Subject Key</t>
        </is>
      </c>
      <c r="D1" s="32" t="inlineStr">
        <is>
          <t>Label</t>
        </is>
      </c>
      <c r="E1" s="32" t="inlineStr">
        <is>
          <t>Approval State</t>
        </is>
      </c>
      <c r="F1" s="32" t="inlineStr">
        <is>
          <t>Follow-Up State</t>
        </is>
      </c>
      <c r="G1" s="32" t="inlineStr">
        <is>
          <t>Source Run ID</t>
        </is>
      </c>
      <c r="H1" s="32" t="inlineStr">
        <is>
          <t>Fingerprint</t>
        </is>
      </c>
      <c r="I1" s="32" t="inlineStr">
        <is>
          <t>Approved At</t>
        </is>
      </c>
      <c r="J1" s="32" t="inlineStr">
        <is>
          <t>Approved By</t>
        </is>
      </c>
      <c r="K1" s="32" t="inlineStr">
        <is>
          <t>Last Reviewed At</t>
        </is>
      </c>
      <c r="L1" s="32" t="inlineStr">
        <is>
          <t>Last Reviewed By</t>
        </is>
      </c>
      <c r="M1" s="32" t="inlineStr">
        <is>
          <t>Follow-Up Cadence Days</t>
        </is>
      </c>
      <c r="N1" s="32" t="inlineStr">
        <is>
          <t>Next Follow-Up Due At</t>
        </is>
      </c>
      <c r="O1" s="32" t="inlineStr">
        <is>
          <t>Stale Approval</t>
        </is>
      </c>
      <c r="P1" s="32" t="inlineStr">
        <is>
          <t>Approval Ready</t>
        </is>
      </c>
      <c r="Q1" s="32" t="inlineStr">
        <is>
          <t>Apply Ready After Approval</t>
        </is>
      </c>
      <c r="R1" s="32" t="inlineStr">
        <is>
          <t>Approval Command</t>
        </is>
      </c>
      <c r="S1" s="32" t="inlineStr">
        <is>
          <t>Follow-Up Command</t>
        </is>
      </c>
      <c r="T1" s="32" t="inlineStr">
        <is>
          <t>Manual Apply Command</t>
        </is>
      </c>
      <c r="U1" s="32" t="inlineStr">
        <is>
          <t>Summary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Campaign Type</t>
        </is>
      </c>
      <c r="B1" s="32" t="inlineStr">
        <is>
          <t>Label</t>
        </is>
      </c>
      <c r="C1" s="32" t="inlineStr">
        <is>
          <t>Tuning Status</t>
        </is>
      </c>
      <c r="D1" s="32" t="inlineStr">
        <is>
          <t>Recommendation Bias</t>
        </is>
      </c>
      <c r="E1" s="32" t="inlineStr">
        <is>
          <t>Judged Count</t>
        </is>
      </c>
      <c r="F1" s="32" t="inlineStr">
        <is>
          <t>Monitor Now Count</t>
        </is>
      </c>
      <c r="G1" s="32" t="inlineStr">
        <is>
          <t>Holding Clean Rate</t>
        </is>
      </c>
      <c r="H1" s="32" t="inlineStr">
        <is>
          <t>Drift Return Rate</t>
        </is>
      </c>
      <c r="I1" s="32" t="inlineStr">
        <is>
          <t>Reopen Rate</t>
        </is>
      </c>
      <c r="J1" s="32" t="inlineStr">
        <is>
          <t>Rollback Watch Rate</t>
        </is>
      </c>
      <c r="K1" s="32" t="inlineStr">
        <is>
          <t>Pressure Reduction Rate</t>
        </is>
      </c>
      <c r="L1" s="32" t="inlineStr">
        <is>
          <t>Summary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Campaign Type</t>
        </is>
      </c>
      <c r="B1" s="32" t="inlineStr">
        <is>
          <t>Label</t>
        </is>
      </c>
      <c r="C1" s="32" t="inlineStr">
        <is>
          <t>Profile</t>
        </is>
      </c>
      <c r="D1" s="32" t="inlineStr">
        <is>
          <t>Collection</t>
        </is>
      </c>
      <c r="E1" s="32" t="inlineStr">
        <is>
          <t>Actions</t>
        </is>
      </c>
      <c r="F1" s="32" t="inlineStr">
        <is>
          <t>Repos</t>
        </is>
      </c>
    </row>
    <row r="2">
      <c r="A2" s="10" t="inlineStr">
        <is>
          <t>security-review</t>
        </is>
      </c>
      <c r="B2" s="10" t="inlineStr">
        <is>
          <t>Security Review</t>
        </is>
      </c>
      <c r="C2" s="10" t="inlineStr">
        <is>
          <t>default</t>
        </is>
      </c>
      <c r="D2" s="10" t="inlineStr"/>
      <c r="E2" s="30" t="n">
        <v>1</v>
      </c>
      <c r="F2" s="30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Collection</t>
        </is>
      </c>
      <c r="B1" s="32" t="inlineStr">
        <is>
          <t>Repo</t>
        </is>
      </c>
      <c r="C1" s="32" t="inlineStr">
        <is>
          <t>Rank</t>
        </is>
      </c>
      <c r="D1" s="32" t="inlineStr">
        <is>
          <t>Reason</t>
        </is>
      </c>
      <c r="E1" s="32" t="inlineStr">
        <is>
          <t>Description</t>
        </is>
      </c>
    </row>
    <row r="2">
      <c r="A2" s="10" t="inlineStr">
        <is>
          <t>showcase</t>
        </is>
      </c>
      <c r="B2" s="10" t="inlineStr">
        <is>
          <t>RepoA</t>
        </is>
      </c>
      <c r="C2" s="30" t="n">
        <v>1</v>
      </c>
      <c r="D2" s="10" t="inlineStr">
        <is>
          <t>Strong showcase candidate.</t>
        </is>
      </c>
      <c r="E2" s="10" t="inlineStr">
        <is>
          <t>Best examples to show other people.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Dimension</t>
        </is>
      </c>
      <c r="C1" s="32" t="inlineStr">
        <is>
          <t>Score</t>
        </is>
      </c>
      <c r="D1" s="32" t="inlineStr">
        <is>
          <t>Max Score</t>
        </is>
      </c>
      <c r="E1" s="32" t="inlineStr">
        <is>
          <t>Findings</t>
        </is>
      </c>
    </row>
    <row r="2">
      <c r="A2" s="10" t="inlineStr">
        <is>
          <t>RepoA</t>
        </is>
      </c>
      <c r="B2" s="10" t="inlineStr">
        <is>
          <t>testing</t>
        </is>
      </c>
      <c r="C2" s="30" t="n">
        <v>0.9</v>
      </c>
      <c r="D2" s="30" t="n">
        <v>1</v>
      </c>
      <c r="E2" s="10" t="inlineStr">
        <is>
          <t>Healthy test coverage</t>
        </is>
      </c>
    </row>
    <row r="3">
      <c r="A3" s="10" t="inlineStr">
        <is>
          <t>RepoA</t>
        </is>
      </c>
      <c r="B3" s="10" t="inlineStr">
        <is>
          <t>documentation</t>
        </is>
      </c>
      <c r="C3" s="30" t="n">
        <v>0.85</v>
      </c>
      <c r="D3" s="30" t="n">
        <v>1</v>
      </c>
      <c r="E3" s="10" t="inlineStr">
        <is>
          <t>README is strong</t>
        </is>
      </c>
    </row>
    <row r="4">
      <c r="A4" s="10" t="inlineStr">
        <is>
          <t>RepoB</t>
        </is>
      </c>
      <c r="B4" s="10" t="inlineStr">
        <is>
          <t>testing</t>
        </is>
      </c>
      <c r="C4" s="30" t="n">
        <v>0.55</v>
      </c>
      <c r="D4" s="30" t="n">
        <v>1</v>
      </c>
      <c r="E4" s="10" t="inlineStr">
        <is>
          <t>A few test gaps remain</t>
        </is>
      </c>
    </row>
    <row r="5">
      <c r="A5" s="10" t="inlineStr">
        <is>
          <t>RepoB</t>
        </is>
      </c>
      <c r="B5" s="10" t="inlineStr">
        <is>
          <t>release</t>
        </is>
      </c>
      <c r="C5" s="30" t="n">
        <v>0.48</v>
      </c>
      <c r="D5" s="30" t="n">
        <v>1</v>
      </c>
      <c r="E5" s="10" t="inlineStr">
        <is>
          <t>Checklist is incomplete</t>
        </is>
      </c>
    </row>
    <row r="6">
      <c r="A6" s="10" t="inlineStr">
        <is>
          <t>RepoC</t>
        </is>
      </c>
      <c r="B6" s="10" t="inlineStr">
        <is>
          <t>security</t>
        </is>
      </c>
      <c r="C6" s="30" t="n">
        <v>0.22</v>
      </c>
      <c r="D6" s="30" t="n">
        <v>1</v>
      </c>
      <c r="E6" s="10" t="inlineStr">
        <is>
          <t>Security controls are missing</t>
        </is>
      </c>
    </row>
    <row r="7">
      <c r="A7" s="10" t="inlineStr">
        <is>
          <t>RepoC</t>
        </is>
      </c>
      <c r="B7" s="10" t="inlineStr">
        <is>
          <t>testing</t>
        </is>
      </c>
      <c r="C7" s="30" t="n">
        <v>0.18</v>
      </c>
      <c r="D7" s="30" t="n">
        <v>1</v>
      </c>
      <c r="E7" s="10" t="inlineStr">
        <is>
          <t>No meaningful tests found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Key</t>
        </is>
      </c>
      <c r="C1" s="32" t="inlineStr">
        <is>
          <t>Priority</t>
        </is>
      </c>
      <c r="D1" s="32" t="inlineStr">
        <is>
          <t>Title</t>
        </is>
      </c>
      <c r="E1" s="32" t="inlineStr">
        <is>
          <t>Expected Lift</t>
        </is>
      </c>
      <c r="F1" s="32" t="inlineStr">
        <is>
          <t>Effort</t>
        </is>
      </c>
      <c r="G1" s="32" t="inlineStr">
        <is>
          <t>Source</t>
        </is>
      </c>
      <c r="H1" s="32" t="inlineStr">
        <is>
          <t>Why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Series</t>
        </is>
      </c>
      <c r="B1" s="32" t="inlineStr">
        <is>
          <t>Run Index</t>
        </is>
      </c>
      <c r="C1" s="32" t="inlineStr">
        <is>
          <t>Score</t>
        </is>
      </c>
    </row>
    <row r="2">
      <c r="A2" s="10" t="inlineStr">
        <is>
          <t>RepoA</t>
        </is>
      </c>
      <c r="B2" s="30" t="n">
        <v>1</v>
      </c>
      <c r="C2" s="30" t="n">
        <v>0.88</v>
      </c>
    </row>
    <row r="3">
      <c r="A3" s="10" t="inlineStr">
        <is>
          <t>RepoB</t>
        </is>
      </c>
      <c r="B3" s="30" t="n">
        <v>1</v>
      </c>
      <c r="C3" s="30" t="n">
        <v>0.62</v>
      </c>
    </row>
    <row r="4">
      <c r="A4" s="10" t="inlineStr">
        <is>
          <t>RepoC</t>
        </is>
      </c>
      <c r="B4" s="30" t="n">
        <v>1</v>
      </c>
      <c r="C4" s="30" t="n">
        <v>0.44</v>
      </c>
    </row>
    <row r="5">
      <c r="A5" s="10" t="inlineStr">
        <is>
          <t>__portfolio__</t>
        </is>
      </c>
      <c r="B5" s="30" t="n">
        <v>1</v>
      </c>
      <c r="C5" s="30" t="n">
        <v>0.65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Full Name</t>
        </is>
      </c>
      <c r="C1" s="32" t="inlineStr">
        <is>
          <t>Scope</t>
        </is>
      </c>
      <c r="D1" s="32" t="inlineStr">
        <is>
          <t>Path</t>
        </is>
      </c>
      <c r="E1" s="32" t="inlineStr">
        <is>
          <t>Module</t>
        </is>
      </c>
      <c r="F1" s="32" t="inlineStr">
        <is>
          <t>Category</t>
        </is>
      </c>
      <c r="G1" s="32" t="inlineStr">
        <is>
          <t>Pressure Score</t>
        </is>
      </c>
      <c r="H1" s="32" t="inlineStr">
        <is>
          <t>Suggestion Type</t>
        </is>
      </c>
      <c r="I1" s="32" t="inlineStr">
        <is>
          <t>Why It Matters</t>
        </is>
      </c>
      <c r="J1" s="32" t="inlineStr">
        <is>
          <t>Suggested First Move</t>
        </is>
      </c>
      <c r="K1" s="32" t="inlineStr">
        <is>
          <t>Signal Summary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Latest Tier</t>
        </is>
      </c>
      <c r="C1" s="32" t="inlineStr">
        <is>
          <t>Latest Score</t>
        </is>
      </c>
      <c r="D1" s="32" t="inlineStr">
        <is>
          <t>Recent Intervention Count</t>
        </is>
      </c>
      <c r="E1" s="32" t="inlineStr">
        <is>
          <t>Last Intervention</t>
        </is>
      </c>
      <c r="F1" s="32" t="inlineStr">
        <is>
          <t>Pressure Trend</t>
        </is>
      </c>
      <c r="G1" s="32" t="inlineStr">
        <is>
          <t>Hotspot Persistence</t>
        </is>
      </c>
      <c r="H1" s="32" t="inlineStr">
        <is>
          <t>Scorecard Trend</t>
        </is>
      </c>
      <c r="I1" s="32" t="inlineStr">
        <is>
          <t>Campaign Follow Through</t>
        </is>
      </c>
      <c r="J1" s="32" t="inlineStr">
        <is>
          <t>Historical Intelligence Status</t>
        </is>
      </c>
      <c r="K1" s="32" t="inlineStr">
        <is>
          <t>Summary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Lens</t>
        </is>
      </c>
      <c r="C1" s="32" t="inlineStr">
        <is>
          <t>Score</t>
        </is>
      </c>
      <c r="D1" s="32" t="inlineStr">
        <is>
          <t>Orientation</t>
        </is>
      </c>
      <c r="E1" s="32" t="inlineStr">
        <is>
          <t>Summary</t>
        </is>
      </c>
      <c r="F1" s="32" t="inlineStr">
        <is>
          <t>Drivers</t>
        </is>
      </c>
    </row>
    <row r="2">
      <c r="A2" s="10" t="inlineStr">
        <is>
          <t>RepoA</t>
        </is>
      </c>
      <c r="B2" s="10" t="inlineStr">
        <is>
          <t>ship_readiness</t>
        </is>
      </c>
      <c r="C2" s="30" t="n">
        <v>0.89</v>
      </c>
      <c r="D2" s="10" t="inlineStr"/>
      <c r="E2" s="10" t="inlineStr">
        <is>
          <t>Ready</t>
        </is>
      </c>
      <c r="F2" s="10" t="inlineStr"/>
    </row>
    <row r="3">
      <c r="A3" s="10" t="inlineStr">
        <is>
          <t>RepoA</t>
        </is>
      </c>
      <c r="B3" s="10" t="inlineStr">
        <is>
          <t>momentum</t>
        </is>
      </c>
      <c r="C3" s="30" t="n">
        <v>0.75</v>
      </c>
      <c r="D3" s="10" t="inlineStr"/>
      <c r="E3" s="10" t="inlineStr">
        <is>
          <t>Holding</t>
        </is>
      </c>
      <c r="F3" s="10" t="inlineStr"/>
    </row>
    <row r="4">
      <c r="A4" s="10" t="inlineStr">
        <is>
          <t>RepoA</t>
        </is>
      </c>
      <c r="B4" s="10" t="inlineStr">
        <is>
          <t>security_posture</t>
        </is>
      </c>
      <c r="C4" s="30" t="n">
        <v>0.82</v>
      </c>
      <c r="D4" s="10" t="inlineStr"/>
      <c r="E4" s="10" t="inlineStr">
        <is>
          <t>Healthy</t>
        </is>
      </c>
      <c r="F4" s="10" t="inlineStr"/>
    </row>
    <row r="5">
      <c r="A5" s="10" t="inlineStr">
        <is>
          <t>RepoA</t>
        </is>
      </c>
      <c r="B5" s="10" t="inlineStr">
        <is>
          <t>portfolio_fit</t>
        </is>
      </c>
      <c r="C5" s="30" t="n">
        <v>0.86</v>
      </c>
      <c r="D5" s="10" t="inlineStr"/>
      <c r="E5" s="10" t="inlineStr">
        <is>
          <t>Strong</t>
        </is>
      </c>
      <c r="F5" s="10" t="inlineStr"/>
    </row>
    <row r="6">
      <c r="A6" s="10" t="inlineStr">
        <is>
          <t>RepoB</t>
        </is>
      </c>
      <c r="B6" s="10" t="inlineStr">
        <is>
          <t>ship_readiness</t>
        </is>
      </c>
      <c r="C6" s="30" t="n">
        <v>0.63</v>
      </c>
      <c r="D6" s="10" t="inlineStr"/>
      <c r="E6" s="10" t="inlineStr">
        <is>
          <t>Needs work</t>
        </is>
      </c>
      <c r="F6" s="10" t="inlineStr"/>
    </row>
    <row r="7">
      <c r="A7" s="10" t="inlineStr">
        <is>
          <t>RepoB</t>
        </is>
      </c>
      <c r="B7" s="10" t="inlineStr">
        <is>
          <t>momentum</t>
        </is>
      </c>
      <c r="C7" s="30" t="n">
        <v>0.54</v>
      </c>
      <c r="D7" s="10" t="inlineStr"/>
      <c r="E7" s="10" t="inlineStr">
        <is>
          <t>Mixed</t>
        </is>
      </c>
      <c r="F7" s="10" t="inlineStr"/>
    </row>
    <row r="8">
      <c r="A8" s="10" t="inlineStr">
        <is>
          <t>RepoB</t>
        </is>
      </c>
      <c r="B8" s="10" t="inlineStr">
        <is>
          <t>security_posture</t>
        </is>
      </c>
      <c r="C8" s="30" t="n">
        <v>0.66</v>
      </c>
      <c r="D8" s="10" t="inlineStr"/>
      <c r="E8" s="10" t="inlineStr">
        <is>
          <t>Watch</t>
        </is>
      </c>
      <c r="F8" s="10" t="inlineStr"/>
    </row>
    <row r="9">
      <c r="A9" s="10" t="inlineStr">
        <is>
          <t>RepoB</t>
        </is>
      </c>
      <c r="B9" s="10" t="inlineStr">
        <is>
          <t>portfolio_fit</t>
        </is>
      </c>
      <c r="C9" s="30" t="n">
        <v>0.58</v>
      </c>
      <c r="D9" s="10" t="inlineStr"/>
      <c r="E9" s="10" t="inlineStr">
        <is>
          <t>Useful</t>
        </is>
      </c>
      <c r="F9" s="10" t="inlineStr"/>
    </row>
    <row r="10">
      <c r="A10" s="10" t="inlineStr">
        <is>
          <t>RepoC</t>
        </is>
      </c>
      <c r="B10" s="10" t="inlineStr">
        <is>
          <t>ship_readiness</t>
        </is>
      </c>
      <c r="C10" s="30" t="n">
        <v>0.42</v>
      </c>
      <c r="D10" s="10" t="inlineStr"/>
      <c r="E10" s="10" t="inlineStr">
        <is>
          <t>Thin</t>
        </is>
      </c>
      <c r="F10" s="10" t="inlineStr"/>
    </row>
    <row r="11">
      <c r="A11" s="10" t="inlineStr">
        <is>
          <t>RepoC</t>
        </is>
      </c>
      <c r="B11" s="10" t="inlineStr">
        <is>
          <t>momentum</t>
        </is>
      </c>
      <c r="C11" s="30" t="n">
        <v>0.31</v>
      </c>
      <c r="D11" s="10" t="inlineStr"/>
      <c r="E11" s="10" t="inlineStr">
        <is>
          <t>Fragile</t>
        </is>
      </c>
      <c r="F11" s="10" t="inlineStr"/>
    </row>
    <row r="12">
      <c r="A12" s="10" t="inlineStr">
        <is>
          <t>RepoC</t>
        </is>
      </c>
      <c r="B12" s="10" t="inlineStr">
        <is>
          <t>security_posture</t>
        </is>
      </c>
      <c r="C12" s="30" t="n">
        <v>0.28</v>
      </c>
      <c r="D12" s="10" t="inlineStr"/>
      <c r="E12" s="10" t="inlineStr">
        <is>
          <t>Risky</t>
        </is>
      </c>
      <c r="F12" s="10" t="inlineStr"/>
    </row>
    <row r="13">
      <c r="A13" s="10" t="inlineStr">
        <is>
          <t>RepoC</t>
        </is>
      </c>
      <c r="B13" s="10" t="inlineStr">
        <is>
          <t>portfolio_fit</t>
        </is>
      </c>
      <c r="C13" s="30" t="n">
        <v>0.36</v>
      </c>
      <c r="D13" s="10" t="inlineStr"/>
      <c r="E13" s="10" t="inlineStr">
        <is>
          <t>Questionable</t>
        </is>
      </c>
      <c r="F13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Change Type</t>
        </is>
      </c>
      <c r="C1" s="32" t="inlineStr">
        <is>
          <t>Count</t>
        </is>
      </c>
      <c r="D1" s="32" t="inlineStr">
        <is>
          <t>Max Severity</t>
        </is>
      </c>
      <c r="E1" s="32" t="inlineStr">
        <is>
          <t>Sample Title</t>
        </is>
      </c>
    </row>
    <row r="2">
      <c r="A2" s="10" t="inlineStr">
        <is>
          <t>RepoB</t>
        </is>
      </c>
      <c r="B2" s="10" t="inlineStr">
        <is>
          <t>reopened-review</t>
        </is>
      </c>
      <c r="C2" s="30" t="n">
        <v>1</v>
      </c>
      <c r="D2" s="30" t="n">
        <v>0</v>
      </c>
      <c r="E2" s="10" t="inlineStr">
        <is>
          <t>Release checklist reopened</t>
        </is>
      </c>
    </row>
    <row r="3">
      <c r="A3" s="10" t="inlineStr">
        <is>
          <t>RepoC</t>
        </is>
      </c>
      <c r="B3" s="10" t="inlineStr">
        <is>
          <t>security-change</t>
        </is>
      </c>
      <c r="C3" s="30" t="n">
        <v>1</v>
      </c>
      <c r="D3" s="30" t="n">
        <v>0</v>
      </c>
      <c r="E3" s="10" t="inlineStr">
        <is>
          <t>Security posture needs attention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Metric</t>
        </is>
      </c>
      <c r="B1" s="32" t="inlineStr">
        <is>
          <t>Status</t>
        </is>
      </c>
      <c r="C1" s="32" t="inlineStr">
        <is>
          <t>Value</t>
        </is>
      </c>
      <c r="D1" s="32" t="inlineStr">
        <is>
          <t>Numerator</t>
        </is>
      </c>
      <c r="E1" s="32" t="inlineStr">
        <is>
          <t>Denominator</t>
        </is>
      </c>
      <c r="F1" s="32" t="inlineStr">
        <is>
          <t>Summary</t>
        </is>
      </c>
    </row>
    <row r="2">
      <c r="A2" s="10" t="inlineStr">
        <is>
          <t>review_to_action_closure_rate</t>
        </is>
      </c>
      <c r="B2" s="10" t="inlineStr">
        <is>
          <t>insufficient-evidence</t>
        </is>
      </c>
      <c r="C2" s="10" t="inlineStr"/>
      <c r="D2" s="10" t="inlineStr"/>
      <c r="E2" s="10" t="inlineStr"/>
      <c r="F2" s="10" t="inlineStr"/>
    </row>
    <row r="3">
      <c r="A3" s="10" t="inlineStr">
        <is>
          <t>median_runs_to_quiet_after_escalation</t>
        </is>
      </c>
      <c r="B3" s="10" t="inlineStr">
        <is>
          <t>insufficient-evidence</t>
        </is>
      </c>
      <c r="C3" s="10" t="inlineStr"/>
      <c r="D3" s="10" t="inlineStr"/>
      <c r="E3" s="10" t="inlineStr"/>
      <c r="F3" s="10" t="inlineStr"/>
    </row>
    <row r="4">
      <c r="A4" s="10" t="inlineStr">
        <is>
          <t>repeated_regression_rate</t>
        </is>
      </c>
      <c r="B4" s="10" t="inlineStr">
        <is>
          <t>insufficient-evidence</t>
        </is>
      </c>
      <c r="C4" s="10" t="inlineStr"/>
      <c r="D4" s="10" t="inlineStr"/>
      <c r="E4" s="10" t="inlineStr"/>
      <c r="F4" s="10" t="inlineStr"/>
    </row>
    <row r="5">
      <c r="A5" s="10" t="inlineStr">
        <is>
          <t>recommendation_validation_rate</t>
        </is>
      </c>
      <c r="B5" s="10" t="inlineStr">
        <is>
          <t>insufficient-evidence</t>
        </is>
      </c>
      <c r="C5" s="10" t="inlineStr"/>
      <c r="D5" s="10" t="inlineStr"/>
      <c r="E5" s="10" t="inlineStr"/>
      <c r="F5" s="10" t="inlineStr"/>
    </row>
    <row r="6">
      <c r="A6" s="10" t="inlineStr">
        <is>
          <t>noisy_guidance_rate</t>
        </is>
      </c>
      <c r="B6" s="10" t="inlineStr">
        <is>
          <t>insufficient-evidence</t>
        </is>
      </c>
      <c r="C6" s="10" t="inlineStr"/>
      <c r="D6" s="10" t="inlineStr"/>
      <c r="E6" s="10" t="inlineStr"/>
      <c r="F6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Item ID</t>
        </is>
      </c>
      <c r="B1" s="32" t="inlineStr">
        <is>
          <t>Repo</t>
        </is>
      </c>
      <c r="C1" s="32" t="inlineStr">
        <is>
          <t>Kind</t>
        </is>
      </c>
      <c r="D1" s="32" t="inlineStr">
        <is>
          <t>Lane</t>
        </is>
      </c>
      <c r="E1" s="32" t="inlineStr">
        <is>
          <t>Priority</t>
        </is>
      </c>
      <c r="F1" s="32" t="inlineStr">
        <is>
          <t>Title</t>
        </is>
      </c>
      <c r="G1" s="32" t="inlineStr">
        <is>
          <t>Summary</t>
        </is>
      </c>
      <c r="H1" s="32" t="inlineStr">
        <is>
          <t>Recommended Action</t>
        </is>
      </c>
      <c r="I1" s="32" t="inlineStr">
        <is>
          <t>Source Run</t>
        </is>
      </c>
      <c r="J1" s="32" t="inlineStr">
        <is>
          <t>Age Days</t>
        </is>
      </c>
      <c r="K1" s="32" t="inlineStr">
        <is>
          <t>Links</t>
        </is>
      </c>
      <c r="L1" s="32" t="inlineStr">
        <is>
          <t>Follow-Through Age Runs</t>
        </is>
      </c>
      <c r="M1" s="32" t="inlineStr">
        <is>
          <t>Follow-Through Status</t>
        </is>
      </c>
      <c r="N1" s="32" t="inlineStr">
        <is>
          <t>Follow-Through Checkpoint Status</t>
        </is>
      </c>
      <c r="O1" s="32" t="inlineStr">
        <is>
          <t>Follow-Through Summary</t>
        </is>
      </c>
      <c r="P1" s="32" t="inlineStr">
        <is>
          <t>Follow-Through Last Touch</t>
        </is>
      </c>
      <c r="Q1" s="32" t="inlineStr">
        <is>
          <t>Follow-Through Next Checkpoint</t>
        </is>
      </c>
      <c r="R1" s="32" t="inlineStr">
        <is>
          <t>Follow-Through Evidence Hint</t>
        </is>
      </c>
      <c r="S1" s="32" t="inlineStr">
        <is>
          <t>Follow-Through Escalation Status</t>
        </is>
      </c>
      <c r="T1" s="32" t="inlineStr">
        <is>
          <t>Follow-Through Escalation Summary</t>
        </is>
      </c>
      <c r="U1" s="32" t="inlineStr">
        <is>
          <t>Follow-Through Escalation Reason</t>
        </is>
      </c>
      <c r="V1" s="32" t="inlineStr">
        <is>
          <t>Follow-Through Recovery Age Runs</t>
        </is>
      </c>
      <c r="W1" s="32" t="inlineStr">
        <is>
          <t>Follow-Through Recovery Status</t>
        </is>
      </c>
      <c r="X1" s="32" t="inlineStr">
        <is>
          <t>Follow-Through Recovery Summary</t>
        </is>
      </c>
      <c r="Y1" s="32" t="inlineStr">
        <is>
          <t>Follow-Through Recovery Reason</t>
        </is>
      </c>
      <c r="Z1" s="32" t="inlineStr">
        <is>
          <t>Follow-Through Recovery Persistence Age Runs</t>
        </is>
      </c>
      <c r="AA1" s="32" t="inlineStr">
        <is>
          <t>Follow-Through Recovery Persistence Status</t>
        </is>
      </c>
      <c r="AB1" s="32" t="inlineStr">
        <is>
          <t>Follow-Through Recovery Persistence Summary</t>
        </is>
      </c>
      <c r="AC1" s="32" t="inlineStr">
        <is>
          <t>Follow-Through Recovery Persistence Reason</t>
        </is>
      </c>
      <c r="AD1" s="32" t="inlineStr">
        <is>
          <t>Follow-Through Relapse Churn Status</t>
        </is>
      </c>
      <c r="AE1" s="32" t="inlineStr">
        <is>
          <t>Follow-Through Relapse Churn Summary</t>
        </is>
      </c>
      <c r="AF1" s="32" t="inlineStr">
        <is>
          <t>Follow-Through Relapse Churn Reason</t>
        </is>
      </c>
      <c r="AG1" s="32" t="inlineStr">
        <is>
          <t>Follow-Through Recovery Freshness Age Runs</t>
        </is>
      </c>
      <c r="AH1" s="32" t="inlineStr">
        <is>
          <t>Follow-Through Recovery Freshness Status</t>
        </is>
      </c>
      <c r="AI1" s="32" t="inlineStr">
        <is>
          <t>Follow-Through Recovery Freshness Summary</t>
        </is>
      </c>
      <c r="AJ1" s="32" t="inlineStr">
        <is>
          <t>Follow-Through Recovery Freshness Reason</t>
        </is>
      </c>
      <c r="AK1" s="32" t="inlineStr">
        <is>
          <t>Follow-Through Recovery Decay Status</t>
        </is>
      </c>
      <c r="AL1" s="32" t="inlineStr">
        <is>
          <t>Follow-Through Recovery Decay Summary</t>
        </is>
      </c>
      <c r="AM1" s="32" t="inlineStr">
        <is>
          <t>Follow-Through Recovery Decay Reason</t>
        </is>
      </c>
      <c r="AN1" s="32" t="inlineStr">
        <is>
          <t>Follow-Through Recovery Memory Reset Status</t>
        </is>
      </c>
      <c r="AO1" s="32" t="inlineStr">
        <is>
          <t>Follow-Through Recovery Memory Reset Summary</t>
        </is>
      </c>
      <c r="AP1" s="32" t="inlineStr">
        <is>
          <t>Follow-Through Recovery Memory Reset Reason</t>
        </is>
      </c>
      <c r="AQ1" s="32" t="inlineStr">
        <is>
          <t>Follow-Through Recovery Rebuild Strength Age Runs</t>
        </is>
      </c>
      <c r="AR1" s="32" t="inlineStr">
        <is>
          <t>Follow-Through Recovery Rebuild Strength Status</t>
        </is>
      </c>
      <c r="AS1" s="32" t="inlineStr">
        <is>
          <t>Follow-Through Recovery Rebuild Strength Summary</t>
        </is>
      </c>
      <c r="AT1" s="32" t="inlineStr">
        <is>
          <t>Follow-Through Recovery Rebuild Strength Reason</t>
        </is>
      </c>
      <c r="AU1" s="32" t="inlineStr">
        <is>
          <t>Follow-Through Recovery Reacquisition Status</t>
        </is>
      </c>
      <c r="AV1" s="32" t="inlineStr">
        <is>
          <t>Follow-Through Recovery Reacquisition Summary</t>
        </is>
      </c>
      <c r="AW1" s="32" t="inlineStr">
        <is>
          <t>Follow-Through Recovery Reacquisition Reason</t>
        </is>
      </c>
      <c r="AX1" s="32" t="inlineStr">
        <is>
          <t>Follow-Through Recovery Reacquisition Durability Age Runs</t>
        </is>
      </c>
      <c r="AY1" s="32" t="inlineStr">
        <is>
          <t>Follow-Through Recovery Reacquisition Durability Status</t>
        </is>
      </c>
      <c r="AZ1" s="32" t="inlineStr">
        <is>
          <t>Follow-Through Recovery Reacquisition Durability Summary</t>
        </is>
      </c>
      <c r="BA1" s="32" t="inlineStr">
        <is>
          <t>Follow-Through Recovery Reacquisition Durability Reason</t>
        </is>
      </c>
      <c r="BB1" s="32" t="inlineStr">
        <is>
          <t>Follow-Through Recovery Reacquisition Consolidation Status</t>
        </is>
      </c>
      <c r="BC1" s="32" t="inlineStr">
        <is>
          <t>Follow-Through Recovery Reacquisition Consolidation Summary</t>
        </is>
      </c>
      <c r="BD1" s="32" t="inlineStr">
        <is>
          <t>Follow-Through Recovery Reacquisition Consolidation Reason</t>
        </is>
      </c>
      <c r="BE1" s="32" t="inlineStr">
        <is>
          <t>Follow-Through Reacquisition Softening Decay Age Runs</t>
        </is>
      </c>
      <c r="BF1" s="32" t="inlineStr">
        <is>
          <t>Follow-Through Reacquisition Softening Decay Status</t>
        </is>
      </c>
      <c r="BG1" s="32" t="inlineStr">
        <is>
          <t>Follow-Through Reacquisition Softening Decay Summary</t>
        </is>
      </c>
      <c r="BH1" s="32" t="inlineStr">
        <is>
          <t>Follow-Through Reacquisition Softening Decay Reason</t>
        </is>
      </c>
      <c r="BI1" s="32" t="inlineStr">
        <is>
          <t>Follow-Through Reacquisition Confidence Retirement Status</t>
        </is>
      </c>
      <c r="BJ1" s="32" t="inlineStr">
        <is>
          <t>Follow-Through Reacquisition Confidence Retirement Summary</t>
        </is>
      </c>
      <c r="BK1" s="32" t="inlineStr">
        <is>
          <t>Follow-Through Reacquisition Confidence Retirement Reason</t>
        </is>
      </c>
      <c r="BL1" s="32" t="inlineStr">
        <is>
          <t>Follow-Through Reacquisition Revalidation Recovery Age Runs</t>
        </is>
      </c>
      <c r="BM1" s="32" t="inlineStr">
        <is>
          <t>Follow-Through Reacquisition Revalidation Recovery Status</t>
        </is>
      </c>
      <c r="BN1" s="32" t="inlineStr">
        <is>
          <t>Follow-Through Reacquisition Revalidation Recovery Summary</t>
        </is>
      </c>
      <c r="BO1" s="32" t="inlineStr">
        <is>
          <t>Follow-Through Reacquisition Revalidation Recovery Reason</t>
        </is>
      </c>
      <c r="BP1" s="32" t="inlineStr">
        <is>
          <t>Catalog Line</t>
        </is>
      </c>
      <c r="BQ1" s="32" t="inlineStr">
        <is>
          <t>Operating Path</t>
        </is>
      </c>
      <c r="BR1" s="32" t="inlineStr">
        <is>
          <t>Intent Alignment</t>
        </is>
      </c>
      <c r="BS1" s="32" t="inlineStr">
        <is>
          <t>Intent Alignment Reason</t>
        </is>
      </c>
      <c r="BT1" s="32" t="inlineStr">
        <is>
          <t>Scorecard Line</t>
        </is>
      </c>
      <c r="BU1" s="32" t="inlineStr">
        <is>
          <t>Maturity Gap Summary</t>
        </is>
      </c>
      <c r="BV1" s="32" t="inlineStr">
        <is>
          <t>Action Sync Stage</t>
        </is>
      </c>
      <c r="BW1" s="32" t="inlineStr">
        <is>
          <t>Action Sync Reason</t>
        </is>
      </c>
      <c r="BX1" s="32" t="inlineStr">
        <is>
          <t>Suggested Campaign</t>
        </is>
      </c>
      <c r="BY1" s="32" t="inlineStr">
        <is>
          <t>Suggested Writeback Target</t>
        </is>
      </c>
      <c r="BZ1" s="32" t="inlineStr">
        <is>
          <t>Action Sync Line</t>
        </is>
      </c>
      <c r="CA1" s="32" t="inlineStr">
        <is>
          <t>Apply Packet State</t>
        </is>
      </c>
      <c r="CB1" s="32" t="inlineStr">
        <is>
          <t>Apply Packet Summary</t>
        </is>
      </c>
      <c r="CC1" s="32" t="inlineStr">
        <is>
          <t>Apply Packet Command</t>
        </is>
      </c>
      <c r="CD1" s="32" t="inlineStr">
        <is>
          <t>Post-Apply State</t>
        </is>
      </c>
      <c r="CE1" s="32" t="inlineStr">
        <is>
          <t>Post-Apply Summary</t>
        </is>
      </c>
      <c r="CF1" s="32" t="inlineStr">
        <is>
          <t>Post-Apply Line</t>
        </is>
      </c>
      <c r="CG1" s="32" t="inlineStr">
        <is>
          <t>Campaign Tuning Status</t>
        </is>
      </c>
      <c r="CH1" s="32" t="inlineStr">
        <is>
          <t>Campaign Tuning Summary</t>
        </is>
      </c>
      <c r="CI1" s="32" t="inlineStr">
        <is>
          <t>Campaign Tuning Line</t>
        </is>
      </c>
      <c r="CJ1" s="32" t="inlineStr">
        <is>
          <t>Historical Intelligence Status</t>
        </is>
      </c>
      <c r="CK1" s="32" t="inlineStr">
        <is>
          <t>Historical Intelligence Summary</t>
        </is>
      </c>
      <c r="CL1" s="32" t="inlineStr">
        <is>
          <t>Historical Intelligence Line</t>
        </is>
      </c>
      <c r="CM1" s="32" t="inlineStr">
        <is>
          <t>Approval State</t>
        </is>
      </c>
      <c r="CN1" s="32" t="inlineStr">
        <is>
          <t>Approval Summary</t>
        </is>
      </c>
      <c r="CO1" s="32" t="inlineStr">
        <is>
          <t>Approval Line</t>
        </is>
      </c>
    </row>
    <row r="2">
      <c r="A2" s="10" t="inlineStr"/>
      <c r="B2" s="10" t="inlineStr">
        <is>
          <t>RepoC</t>
        </is>
      </c>
      <c r="C2" s="10" t="inlineStr">
        <is>
          <t>campaign</t>
        </is>
      </c>
      <c r="D2" s="10" t="inlineStr">
        <is>
          <t>blocked</t>
        </is>
      </c>
      <c r="E2" s="30" t="n">
        <v>1</v>
      </c>
      <c r="F2" s="10" t="inlineStr">
        <is>
          <t>Security drift needs review</t>
        </is>
      </c>
      <c r="G2" s="10" t="inlineStr">
        <is>
          <t>RepoC still needs a governance decision before the security review can settle.</t>
        </is>
      </c>
      <c r="H2" s="10" t="inlineStr">
        <is>
          <t>Open the governed control preview and decide whether to apply CodeQL.</t>
        </is>
      </c>
      <c r="I2" s="10" t="inlineStr"/>
      <c r="J2" s="30" t="n">
        <v>0</v>
      </c>
      <c r="K2" s="10" t="inlineStr">
        <is>
          <t>[{"label": "GitHub Issue", "url": "https://github.com/sample-user/RepoC/issues/1"}]</t>
        </is>
      </c>
      <c r="L2" s="30" t="n">
        <v>0</v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30" t="n">
        <v>0</v>
      </c>
      <c r="W2" s="10" t="inlineStr"/>
      <c r="X2" s="10" t="inlineStr"/>
      <c r="Y2" s="10" t="inlineStr"/>
      <c r="Z2" s="30" t="n">
        <v>0</v>
      </c>
      <c r="AA2" s="10" t="inlineStr"/>
      <c r="AB2" s="10" t="inlineStr"/>
      <c r="AC2" s="10" t="inlineStr"/>
      <c r="AD2" s="10" t="inlineStr"/>
      <c r="AE2" s="10" t="inlineStr"/>
      <c r="AF2" s="10" t="inlineStr"/>
      <c r="AG2" s="30" t="n">
        <v>0</v>
      </c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30" t="n">
        <v>0</v>
      </c>
      <c r="AR2" s="10" t="inlineStr"/>
      <c r="AS2" s="10" t="inlineStr"/>
      <c r="AT2" s="10" t="inlineStr"/>
      <c r="AU2" s="10" t="inlineStr"/>
      <c r="AV2" s="10" t="inlineStr"/>
      <c r="AW2" s="10" t="inlineStr"/>
      <c r="AX2" s="30" t="n">
        <v>0</v>
      </c>
      <c r="AY2" s="10" t="inlineStr"/>
      <c r="AZ2" s="10" t="inlineStr"/>
      <c r="BA2" s="10" t="inlineStr"/>
      <c r="BB2" s="10" t="inlineStr"/>
      <c r="BC2" s="10" t="inlineStr"/>
      <c r="BD2" s="10" t="inlineStr"/>
      <c r="BE2" s="30" t="n">
        <v>0</v>
      </c>
      <c r="BF2" s="10" t="inlineStr"/>
      <c r="BG2" s="10" t="inlineStr"/>
      <c r="BH2" s="10" t="inlineStr"/>
      <c r="BI2" s="10" t="inlineStr"/>
      <c r="BJ2" s="10" t="inlineStr"/>
      <c r="BK2" s="10" t="inlineStr"/>
      <c r="BL2" s="30" t="n">
        <v>0</v>
      </c>
      <c r="BM2" s="10" t="inlineStr"/>
      <c r="BN2" s="10" t="inlineStr"/>
      <c r="BO2" s="10" t="inlineStr"/>
      <c r="BP2" s="10" t="inlineStr"/>
      <c r="BQ2" s="10" t="inlineStr"/>
      <c r="BR2" s="10" t="inlineStr"/>
      <c r="BS2" s="10" t="inlineStr"/>
      <c r="BT2" s="10" t="inlineStr"/>
      <c r="BU2" s="10" t="inlineStr"/>
      <c r="BV2" s="10" t="inlineStr"/>
      <c r="BW2" s="10" t="inlineStr"/>
      <c r="BX2" s="10" t="inlineStr"/>
      <c r="BY2" s="10" t="inlineStr"/>
      <c r="BZ2" s="10" t="inlineStr"/>
      <c r="CA2" s="10" t="inlineStr"/>
      <c r="CB2" s="10" t="inlineStr"/>
      <c r="CC2" s="10" t="inlineStr"/>
      <c r="CD2" s="10" t="inlineStr"/>
      <c r="CE2" s="10" t="inlineStr"/>
      <c r="CF2" s="10" t="inlineStr"/>
      <c r="CG2" s="10" t="inlineStr"/>
      <c r="CH2" s="10" t="inlineStr"/>
      <c r="CI2" s="10" t="inlineStr"/>
      <c r="CJ2" s="10" t="inlineStr"/>
      <c r="CK2" s="10" t="inlineStr"/>
      <c r="CL2" s="10" t="inlineStr"/>
      <c r="CM2" s="10" t="inlineStr"/>
      <c r="CN2" s="10" t="inlineStr"/>
      <c r="CO2" s="10" t="inlineStr"/>
    </row>
    <row r="3">
      <c r="A3" s="10" t="inlineStr"/>
      <c r="B3" s="10" t="inlineStr">
        <is>
          <t>RepoB</t>
        </is>
      </c>
      <c r="C3" s="10" t="inlineStr">
        <is>
          <t>review</t>
        </is>
      </c>
      <c r="D3" s="10" t="inlineStr">
        <is>
          <t>urgent</t>
        </is>
      </c>
      <c r="E3" s="30" t="n">
        <v>2</v>
      </c>
      <c r="F3" s="10" t="inlineStr">
        <is>
          <t>Release checklist reopened</t>
        </is>
      </c>
      <c r="G3" s="10" t="inlineStr">
        <is>
          <t>RepoB needs a small release follow-through pass.</t>
        </is>
      </c>
      <c r="H3" s="10" t="inlineStr">
        <is>
          <t>Re-run the release checklist and close the missing item.</t>
        </is>
      </c>
      <c r="I3" s="10" t="inlineStr"/>
      <c r="J3" s="30" t="n">
        <v>0</v>
      </c>
      <c r="K3" s="10" t="inlineStr">
        <is>
          <t>[]</t>
        </is>
      </c>
      <c r="L3" s="30" t="n">
        <v>0</v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30" t="n">
        <v>0</v>
      </c>
      <c r="W3" s="10" t="inlineStr"/>
      <c r="X3" s="10" t="inlineStr"/>
      <c r="Y3" s="10" t="inlineStr"/>
      <c r="Z3" s="30" t="n">
        <v>0</v>
      </c>
      <c r="AA3" s="10" t="inlineStr"/>
      <c r="AB3" s="10" t="inlineStr"/>
      <c r="AC3" s="10" t="inlineStr"/>
      <c r="AD3" s="10" t="inlineStr"/>
      <c r="AE3" s="10" t="inlineStr"/>
      <c r="AF3" s="10" t="inlineStr"/>
      <c r="AG3" s="30" t="n">
        <v>0</v>
      </c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30" t="n">
        <v>0</v>
      </c>
      <c r="AR3" s="10" t="inlineStr"/>
      <c r="AS3" s="10" t="inlineStr"/>
      <c r="AT3" s="10" t="inlineStr"/>
      <c r="AU3" s="10" t="inlineStr"/>
      <c r="AV3" s="10" t="inlineStr"/>
      <c r="AW3" s="10" t="inlineStr"/>
      <c r="AX3" s="30" t="n">
        <v>0</v>
      </c>
      <c r="AY3" s="10" t="inlineStr"/>
      <c r="AZ3" s="10" t="inlineStr"/>
      <c r="BA3" s="10" t="inlineStr"/>
      <c r="BB3" s="10" t="inlineStr"/>
      <c r="BC3" s="10" t="inlineStr"/>
      <c r="BD3" s="10" t="inlineStr"/>
      <c r="BE3" s="30" t="n">
        <v>0</v>
      </c>
      <c r="BF3" s="10" t="inlineStr"/>
      <c r="BG3" s="10" t="inlineStr"/>
      <c r="BH3" s="10" t="inlineStr"/>
      <c r="BI3" s="10" t="inlineStr"/>
      <c r="BJ3" s="10" t="inlineStr"/>
      <c r="BK3" s="10" t="inlineStr"/>
      <c r="BL3" s="30" t="n">
        <v>0</v>
      </c>
      <c r="BM3" s="10" t="inlineStr"/>
      <c r="BN3" s="10" t="inlineStr"/>
      <c r="BO3" s="10" t="inlineStr"/>
      <c r="BP3" s="10" t="inlineStr"/>
      <c r="BQ3" s="10" t="inlineStr"/>
      <c r="BR3" s="10" t="inlineStr"/>
      <c r="BS3" s="10" t="inlineStr"/>
      <c r="BT3" s="10" t="inlineStr"/>
      <c r="BU3" s="10" t="inlineStr"/>
      <c r="BV3" s="10" t="inlineStr"/>
      <c r="BW3" s="10" t="inlineStr"/>
      <c r="BX3" s="10" t="inlineStr"/>
      <c r="BY3" s="10" t="inlineStr"/>
      <c r="BZ3" s="10" t="inlineStr"/>
      <c r="CA3" s="10" t="inlineStr"/>
      <c r="CB3" s="10" t="inlineStr"/>
      <c r="CC3" s="10" t="inlineStr"/>
      <c r="CD3" s="10" t="inlineStr"/>
      <c r="CE3" s="10" t="inlineStr"/>
      <c r="CF3" s="10" t="inlineStr"/>
      <c r="CG3" s="10" t="inlineStr"/>
      <c r="CH3" s="10" t="inlineStr"/>
      <c r="CI3" s="10" t="inlineStr"/>
      <c r="CJ3" s="10" t="inlineStr"/>
      <c r="CK3" s="10" t="inlineStr"/>
      <c r="CL3" s="10" t="inlineStr"/>
      <c r="CM3" s="10" t="inlineStr"/>
      <c r="CN3" s="10" t="inlineStr"/>
      <c r="CO3" s="10" t="inlineStr"/>
    </row>
    <row r="4">
      <c r="A4" s="10" t="inlineStr"/>
      <c r="B4" s="10" t="inlineStr">
        <is>
          <t>RepoA</t>
        </is>
      </c>
      <c r="C4" s="10" t="inlineStr">
        <is>
          <t>maintenance</t>
        </is>
      </c>
      <c r="D4" s="10" t="inlineStr">
        <is>
          <t>ready</t>
        </is>
      </c>
      <c r="E4" s="30" t="n">
        <v>3</v>
      </c>
      <c r="F4" s="10" t="inlineStr">
        <is>
          <t>Protect shipped momentum</t>
        </is>
      </c>
      <c r="G4" s="10" t="inlineStr">
        <is>
          <t>A small polish pass would keep the showcase repo strong.</t>
        </is>
      </c>
      <c r="H4" s="10" t="inlineStr">
        <is>
          <t>Tidy the release notes and publish the next small maintenance release.</t>
        </is>
      </c>
      <c r="I4" s="10" t="inlineStr"/>
      <c r="J4" s="30" t="n">
        <v>0</v>
      </c>
      <c r="K4" s="10" t="inlineStr">
        <is>
          <t>[]</t>
        </is>
      </c>
      <c r="L4" s="30" t="n">
        <v>0</v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30" t="n">
        <v>0</v>
      </c>
      <c r="W4" s="10" t="inlineStr"/>
      <c r="X4" s="10" t="inlineStr"/>
      <c r="Y4" s="10" t="inlineStr"/>
      <c r="Z4" s="30" t="n">
        <v>0</v>
      </c>
      <c r="AA4" s="10" t="inlineStr"/>
      <c r="AB4" s="10" t="inlineStr"/>
      <c r="AC4" s="10" t="inlineStr"/>
      <c r="AD4" s="10" t="inlineStr"/>
      <c r="AE4" s="10" t="inlineStr"/>
      <c r="AF4" s="10" t="inlineStr"/>
      <c r="AG4" s="30" t="n">
        <v>0</v>
      </c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30" t="n">
        <v>0</v>
      </c>
      <c r="AR4" s="10" t="inlineStr"/>
      <c r="AS4" s="10" t="inlineStr"/>
      <c r="AT4" s="10" t="inlineStr"/>
      <c r="AU4" s="10" t="inlineStr"/>
      <c r="AV4" s="10" t="inlineStr"/>
      <c r="AW4" s="10" t="inlineStr"/>
      <c r="AX4" s="30" t="n">
        <v>0</v>
      </c>
      <c r="AY4" s="10" t="inlineStr"/>
      <c r="AZ4" s="10" t="inlineStr"/>
      <c r="BA4" s="10" t="inlineStr"/>
      <c r="BB4" s="10" t="inlineStr"/>
      <c r="BC4" s="10" t="inlineStr"/>
      <c r="BD4" s="10" t="inlineStr"/>
      <c r="BE4" s="30" t="n">
        <v>0</v>
      </c>
      <c r="BF4" s="10" t="inlineStr"/>
      <c r="BG4" s="10" t="inlineStr"/>
      <c r="BH4" s="10" t="inlineStr"/>
      <c r="BI4" s="10" t="inlineStr"/>
      <c r="BJ4" s="10" t="inlineStr"/>
      <c r="BK4" s="10" t="inlineStr"/>
      <c r="BL4" s="30" t="n">
        <v>0</v>
      </c>
      <c r="BM4" s="10" t="inlineStr"/>
      <c r="BN4" s="10" t="inlineStr"/>
      <c r="BO4" s="10" t="inlineStr"/>
      <c r="BP4" s="10" t="inlineStr"/>
      <c r="BQ4" s="10" t="inlineStr"/>
      <c r="BR4" s="10" t="inlineStr"/>
      <c r="BS4" s="10" t="inlineStr"/>
      <c r="BT4" s="10" t="inlineStr"/>
      <c r="BU4" s="10" t="inlineStr"/>
      <c r="BV4" s="10" t="inlineStr"/>
      <c r="BW4" s="10" t="inlineStr"/>
      <c r="BX4" s="10" t="inlineStr"/>
      <c r="BY4" s="10" t="inlineStr"/>
      <c r="BZ4" s="10" t="inlineStr"/>
      <c r="CA4" s="10" t="inlineStr"/>
      <c r="CB4" s="10" t="inlineStr"/>
      <c r="CC4" s="10" t="inlineStr"/>
      <c r="CD4" s="10" t="inlineStr"/>
      <c r="CE4" s="10" t="inlineStr"/>
      <c r="CF4" s="10" t="inlineStr"/>
      <c r="CG4" s="10" t="inlineStr"/>
      <c r="CH4" s="10" t="inlineStr"/>
      <c r="CI4" s="10" t="inlineStr"/>
      <c r="CJ4" s="10" t="inlineStr"/>
      <c r="CK4" s="10" t="inlineStr"/>
      <c r="CL4" s="10" t="inlineStr"/>
      <c r="CM4" s="10" t="inlineStr"/>
      <c r="CN4" s="10" t="inlineStr"/>
      <c r="CO4" s="10" t="inlineStr"/>
    </row>
    <row r="5">
      <c r="A5" s="10" t="inlineStr"/>
      <c r="B5" s="10" t="inlineStr">
        <is>
          <t>RepoA</t>
        </is>
      </c>
      <c r="C5" s="10" t="inlineStr">
        <is>
          <t>cleanup</t>
        </is>
      </c>
      <c r="D5" s="10" t="inlineStr">
        <is>
          <t>deferred</t>
        </is>
      </c>
      <c r="E5" s="30" t="n">
        <v>4</v>
      </c>
      <c r="F5" s="10" t="inlineStr">
        <is>
          <t>Archive old brainstorm notes</t>
        </is>
      </c>
      <c r="G5" s="10" t="inlineStr">
        <is>
          <t>Backlog cleanup is optional this week.</t>
        </is>
      </c>
      <c r="H5" s="10" t="inlineStr">
        <is>
          <t>Leave this alone unless priorities change.</t>
        </is>
      </c>
      <c r="I5" s="10" t="inlineStr"/>
      <c r="J5" s="30" t="n">
        <v>0</v>
      </c>
      <c r="K5" s="10" t="inlineStr">
        <is>
          <t>[]</t>
        </is>
      </c>
      <c r="L5" s="30" t="n">
        <v>0</v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30" t="n">
        <v>0</v>
      </c>
      <c r="W5" s="10" t="inlineStr"/>
      <c r="X5" s="10" t="inlineStr"/>
      <c r="Y5" s="10" t="inlineStr"/>
      <c r="Z5" s="30" t="n">
        <v>0</v>
      </c>
      <c r="AA5" s="10" t="inlineStr"/>
      <c r="AB5" s="10" t="inlineStr"/>
      <c r="AC5" s="10" t="inlineStr"/>
      <c r="AD5" s="10" t="inlineStr"/>
      <c r="AE5" s="10" t="inlineStr"/>
      <c r="AF5" s="10" t="inlineStr"/>
      <c r="AG5" s="30" t="n">
        <v>0</v>
      </c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30" t="n">
        <v>0</v>
      </c>
      <c r="AR5" s="10" t="inlineStr"/>
      <c r="AS5" s="10" t="inlineStr"/>
      <c r="AT5" s="10" t="inlineStr"/>
      <c r="AU5" s="10" t="inlineStr"/>
      <c r="AV5" s="10" t="inlineStr"/>
      <c r="AW5" s="10" t="inlineStr"/>
      <c r="AX5" s="30" t="n">
        <v>0</v>
      </c>
      <c r="AY5" s="10" t="inlineStr"/>
      <c r="AZ5" s="10" t="inlineStr"/>
      <c r="BA5" s="10" t="inlineStr"/>
      <c r="BB5" s="10" t="inlineStr"/>
      <c r="BC5" s="10" t="inlineStr"/>
      <c r="BD5" s="10" t="inlineStr"/>
      <c r="BE5" s="30" t="n">
        <v>0</v>
      </c>
      <c r="BF5" s="10" t="inlineStr"/>
      <c r="BG5" s="10" t="inlineStr"/>
      <c r="BH5" s="10" t="inlineStr"/>
      <c r="BI5" s="10" t="inlineStr"/>
      <c r="BJ5" s="10" t="inlineStr"/>
      <c r="BK5" s="10" t="inlineStr"/>
      <c r="BL5" s="30" t="n">
        <v>0</v>
      </c>
      <c r="BM5" s="10" t="inlineStr"/>
      <c r="BN5" s="10" t="inlineStr"/>
      <c r="BO5" s="10" t="inlineStr"/>
      <c r="BP5" s="10" t="inlineStr"/>
      <c r="BQ5" s="10" t="inlineStr"/>
      <c r="BR5" s="10" t="inlineStr"/>
      <c r="BS5" s="10" t="inlineStr"/>
      <c r="BT5" s="10" t="inlineStr"/>
      <c r="BU5" s="10" t="inlineStr"/>
      <c r="BV5" s="10" t="inlineStr"/>
      <c r="BW5" s="10" t="inlineStr"/>
      <c r="BX5" s="10" t="inlineStr"/>
      <c r="BY5" s="10" t="inlineStr"/>
      <c r="BZ5" s="10" t="inlineStr"/>
      <c r="CA5" s="10" t="inlineStr"/>
      <c r="CB5" s="10" t="inlineStr"/>
      <c r="CC5" s="10" t="inlineStr"/>
      <c r="CD5" s="10" t="inlineStr"/>
      <c r="CE5" s="10" t="inlineStr"/>
      <c r="CF5" s="10" t="inlineStr"/>
      <c r="CG5" s="10" t="inlineStr"/>
      <c r="CH5" s="10" t="inlineStr"/>
      <c r="CI5" s="10" t="inlineStr"/>
      <c r="CJ5" s="10" t="inlineStr"/>
      <c r="CK5" s="10" t="inlineStr"/>
      <c r="CL5" s="10" t="inlineStr"/>
      <c r="CM5" s="10" t="inlineStr"/>
      <c r="CN5" s="10" t="inlineStr"/>
      <c r="CO5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Total Items</t>
        </is>
      </c>
      <c r="C1" s="32" t="inlineStr">
        <is>
          <t>Blocked</t>
        </is>
      </c>
      <c r="D1" s="32" t="inlineStr">
        <is>
          <t>Urgent</t>
        </is>
      </c>
      <c r="E1" s="32" t="inlineStr">
        <is>
          <t>Ready</t>
        </is>
      </c>
      <c r="F1" s="32" t="inlineStr">
        <is>
          <t>Deferred</t>
        </is>
      </c>
      <c r="G1" s="32" t="inlineStr">
        <is>
          <t>Primary Kind</t>
        </is>
      </c>
      <c r="H1" s="32" t="inlineStr">
        <is>
          <t>Top Priority</t>
        </is>
      </c>
      <c r="I1" s="32" t="inlineStr">
        <is>
          <t>Top Title</t>
        </is>
      </c>
      <c r="J1" s="32" t="inlineStr">
        <is>
          <t>Recommended Action</t>
        </is>
      </c>
    </row>
    <row r="2">
      <c r="A2" s="10" t="inlineStr">
        <is>
          <t>RepoC</t>
        </is>
      </c>
      <c r="B2" s="30" t="n">
        <v>1</v>
      </c>
      <c r="C2" s="30" t="n">
        <v>1</v>
      </c>
      <c r="D2" s="30" t="n">
        <v>0</v>
      </c>
      <c r="E2" s="30" t="n">
        <v>0</v>
      </c>
      <c r="F2" s="30" t="n">
        <v>0</v>
      </c>
      <c r="G2" s="10" t="inlineStr">
        <is>
          <t>campaign</t>
        </is>
      </c>
      <c r="H2" s="30" t="n">
        <v>0</v>
      </c>
      <c r="I2" s="10" t="inlineStr">
        <is>
          <t>Security drift needs review</t>
        </is>
      </c>
      <c r="J2" s="10" t="inlineStr">
        <is>
          <t>Open the governed control preview and decide whether to apply CodeQL.</t>
        </is>
      </c>
    </row>
    <row r="3">
      <c r="A3" s="10" t="inlineStr">
        <is>
          <t>RepoB</t>
        </is>
      </c>
      <c r="B3" s="30" t="n">
        <v>1</v>
      </c>
      <c r="C3" s="30" t="n">
        <v>0</v>
      </c>
      <c r="D3" s="30" t="n">
        <v>1</v>
      </c>
      <c r="E3" s="30" t="n">
        <v>0</v>
      </c>
      <c r="F3" s="30" t="n">
        <v>0</v>
      </c>
      <c r="G3" s="10" t="inlineStr">
        <is>
          <t>review</t>
        </is>
      </c>
      <c r="H3" s="30" t="n">
        <v>0</v>
      </c>
      <c r="I3" s="10" t="inlineStr">
        <is>
          <t>Release checklist reopened</t>
        </is>
      </c>
      <c r="J3" s="10" t="inlineStr">
        <is>
          <t>Re-run the release checklist and close the missing item.</t>
        </is>
      </c>
    </row>
    <row r="4">
      <c r="A4" s="10" t="inlineStr">
        <is>
          <t>RepoA</t>
        </is>
      </c>
      <c r="B4" s="30" t="n">
        <v>2</v>
      </c>
      <c r="C4" s="30" t="n">
        <v>0</v>
      </c>
      <c r="D4" s="30" t="n">
        <v>0</v>
      </c>
      <c r="E4" s="30" t="n">
        <v>1</v>
      </c>
      <c r="F4" s="30" t="n">
        <v>1</v>
      </c>
      <c r="G4" s="10" t="inlineStr">
        <is>
          <t>maintenance</t>
        </is>
      </c>
      <c r="H4" s="30" t="n">
        <v>0</v>
      </c>
      <c r="I4" s="10" t="inlineStr">
        <is>
          <t>Archive old brainstorm notes</t>
        </is>
      </c>
      <c r="J4" s="10" t="inlineStr">
        <is>
          <t>Leave this alone unless priorities change.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Full Name</t>
        </is>
      </c>
      <c r="C1" s="32" t="inlineStr">
        <is>
          <t>Owner</t>
        </is>
      </c>
      <c r="D1" s="32" t="inlineStr">
        <is>
          <t>Team</t>
        </is>
      </c>
      <c r="E1" s="32" t="inlineStr">
        <is>
          <t>Purpose</t>
        </is>
      </c>
      <c r="F1" s="32" t="inlineStr">
        <is>
          <t>Lifecycle</t>
        </is>
      </c>
      <c r="G1" s="32" t="inlineStr">
        <is>
          <t>Criticality</t>
        </is>
      </c>
      <c r="H1" s="32" t="inlineStr">
        <is>
          <t>Review Cadence</t>
        </is>
      </c>
      <c r="I1" s="32" t="inlineStr">
        <is>
          <t>Disposition</t>
        </is>
      </c>
      <c r="J1" s="32" t="inlineStr">
        <is>
          <t>Maturity Program</t>
        </is>
      </c>
      <c r="K1" s="32" t="inlineStr">
        <is>
          <t>Target Maturity</t>
        </is>
      </c>
      <c r="L1" s="32" t="inlineStr">
        <is>
          <t>Operating Path</t>
        </is>
      </c>
      <c r="M1" s="32" t="inlineStr">
        <is>
          <t>Path Override</t>
        </is>
      </c>
      <c r="N1" s="32" t="inlineStr">
        <is>
          <t>Path Confidence</t>
        </is>
      </c>
      <c r="O1" s="32" t="inlineStr">
        <is>
          <t>Notes</t>
        </is>
      </c>
      <c r="P1" s="32" t="inlineStr">
        <is>
          <t>Intent Alignment</t>
        </is>
      </c>
      <c r="Q1" s="32" t="inlineStr">
        <is>
          <t>Intent Alignment Reason</t>
        </is>
      </c>
      <c r="R1" s="32" t="inlineStr">
        <is>
          <t>Catalog Line</t>
        </is>
      </c>
    </row>
    <row r="2">
      <c r="A2" s="10" t="inlineStr">
        <is>
          <t>RepoA</t>
        </is>
      </c>
      <c r="B2" s="10" t="inlineStr">
        <is>
          <t>sample-user/RepoA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>
        <is>
          <t>missing-contract</t>
        </is>
      </c>
      <c r="Q2" s="10" t="inlineStr"/>
      <c r="R2" s="10" t="inlineStr"/>
    </row>
    <row r="3">
      <c r="A3" s="10" t="inlineStr">
        <is>
          <t>RepoB</t>
        </is>
      </c>
      <c r="B3" s="10" t="inlineStr">
        <is>
          <t>sample-user/RepoB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>
        <is>
          <t>missing-contract</t>
        </is>
      </c>
      <c r="Q3" s="10" t="inlineStr"/>
      <c r="R3" s="10" t="inlineStr"/>
    </row>
    <row r="4">
      <c r="A4" s="10" t="inlineStr">
        <is>
          <t>RepoC</t>
        </is>
      </c>
      <c r="B4" s="10" t="inlineStr">
        <is>
          <t>sample-user/RepoC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>
        <is>
          <t>missing-contract</t>
        </is>
      </c>
      <c r="Q4" s="10" t="inlineStr"/>
      <c r="R4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Run Index</t>
        </is>
      </c>
      <c r="B1" s="32" t="inlineStr">
        <is>
          <t>Date</t>
        </is>
      </c>
      <c r="C1" s="32" t="inlineStr">
        <is>
          <t>Average Score</t>
        </is>
      </c>
      <c r="D1" s="32" t="inlineStr">
        <is>
          <t>Repos Audited</t>
        </is>
      </c>
      <c r="E1" s="32" t="inlineStr">
        <is>
          <t>Shipped</t>
        </is>
      </c>
      <c r="F1" s="32" t="inlineStr">
        <is>
          <t>Functional</t>
        </is>
      </c>
      <c r="G1" s="32" t="inlineStr">
        <is>
          <t>Security Avg</t>
        </is>
      </c>
      <c r="H1" s="32" t="inlineStr">
        <is>
          <t>Review Emitted</t>
        </is>
      </c>
      <c r="I1" s="32" t="inlineStr">
        <is>
          <t>Campaign Drift</t>
        </is>
      </c>
      <c r="J1" s="32" t="inlineStr">
        <is>
          <t>Governance Drift</t>
        </is>
      </c>
    </row>
    <row r="2">
      <c r="A2" s="30" t="n">
        <v>1</v>
      </c>
      <c r="B2" s="10" t="inlineStr">
        <is>
          <t>2026-04-12</t>
        </is>
      </c>
      <c r="C2" s="30" t="n">
        <v>0.65</v>
      </c>
      <c r="D2" s="30" t="n">
        <v>3</v>
      </c>
      <c r="E2" s="30" t="n">
        <v>1</v>
      </c>
      <c r="F2" s="30" t="n">
        <v>1</v>
      </c>
      <c r="G2" s="30" t="n">
        <v>0.58</v>
      </c>
      <c r="H2" s="10" t="inlineStr">
        <is>
          <t>yes</t>
        </is>
      </c>
      <c r="I2" s="30" t="n">
        <v>1</v>
      </c>
      <c r="J2" s="30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A4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URL</t>
        </is>
      </c>
      <c r="C1" s="32" t="inlineStr">
        <is>
          <t>Language</t>
        </is>
      </c>
      <c r="D1" s="32" t="inlineStr">
        <is>
          <t>Description</t>
        </is>
      </c>
      <c r="E1" s="32" t="inlineStr">
        <is>
          <t>Overall Score</t>
        </is>
      </c>
      <c r="F1" s="32" t="inlineStr">
        <is>
          <t>Interest Score</t>
        </is>
      </c>
      <c r="G1" s="32" t="inlineStr">
        <is>
          <t>Grade</t>
        </is>
      </c>
      <c r="H1" s="32" t="inlineStr">
        <is>
          <t>Tier</t>
        </is>
      </c>
      <c r="I1" s="32" t="inlineStr">
        <is>
          <t>Badges</t>
        </is>
      </c>
      <c r="J1" s="32" t="inlineStr">
        <is>
          <t>Flags</t>
        </is>
      </c>
      <c r="K1" s="32" t="inlineStr">
        <is>
          <t>Collections</t>
        </is>
      </c>
      <c r="L1" s="32" t="inlineStr">
        <is>
          <t>Security Label</t>
        </is>
      </c>
      <c r="M1" s="32" t="inlineStr">
        <is>
          <t>Security Score</t>
        </is>
      </c>
      <c r="N1" s="32" t="inlineStr">
        <is>
          <t>Ship Lens Summary</t>
        </is>
      </c>
      <c r="O1" s="32" t="inlineStr">
        <is>
          <t>Momentum Lens Summary</t>
        </is>
      </c>
      <c r="P1" s="32" t="inlineStr">
        <is>
          <t>Security Lens Summary</t>
        </is>
      </c>
      <c r="Q1" s="32" t="inlineStr">
        <is>
          <t>Portfolio Fit Summary</t>
        </is>
      </c>
      <c r="R1" s="32" t="inlineStr">
        <is>
          <t>Trend Sparkline</t>
        </is>
      </c>
      <c r="S1" s="32" t="inlineStr">
        <is>
          <t>Top Positive Drivers</t>
        </is>
      </c>
      <c r="T1" s="32" t="inlineStr">
        <is>
          <t>Top Negative Drivers</t>
        </is>
      </c>
      <c r="U1" s="32" t="inlineStr">
        <is>
          <t>Next Tier Gap Summary</t>
        </is>
      </c>
      <c r="V1" s="32" t="inlineStr">
        <is>
          <t>Next Best Action</t>
        </is>
      </c>
      <c r="W1" s="32" t="inlineStr">
        <is>
          <t>Next Best Action Rationale</t>
        </is>
      </c>
      <c r="X1" s="32" t="inlineStr">
        <is>
          <t>Top Hotspot 1</t>
        </is>
      </c>
      <c r="Y1" s="32" t="inlineStr">
        <is>
          <t>Top Hotspot 2</t>
        </is>
      </c>
      <c r="Z1" s="32" t="inlineStr">
        <is>
          <t>Top Hotspot 3</t>
        </is>
      </c>
      <c r="AA1" s="32" t="inlineStr">
        <is>
          <t>Top Action 1</t>
        </is>
      </c>
      <c r="AB1" s="32" t="inlineStr">
        <is>
          <t>Top Action 2</t>
        </is>
      </c>
      <c r="AC1" s="32" t="inlineStr">
        <is>
          <t>Top Action 3</t>
        </is>
      </c>
      <c r="AD1" s="32" t="inlineStr">
        <is>
          <t>Last Movement</t>
        </is>
      </c>
      <c r="AE1" s="32" t="inlineStr">
        <is>
          <t>Recent Change Summary</t>
        </is>
      </c>
      <c r="AF1" s="32" t="inlineStr">
        <is>
          <t>Follow-Through Status</t>
        </is>
      </c>
      <c r="AG1" s="32" t="inlineStr">
        <is>
          <t>Follow-Through Summary</t>
        </is>
      </c>
      <c r="AH1" s="32" t="inlineStr">
        <is>
          <t>Checkpoint Timing</t>
        </is>
      </c>
      <c r="AI1" s="32" t="inlineStr">
        <is>
          <t>Escalation</t>
        </is>
      </c>
      <c r="AJ1" s="32" t="inlineStr">
        <is>
          <t>Escalation Summary</t>
        </is>
      </c>
      <c r="AK1" s="32" t="inlineStr">
        <is>
          <t>Recovery / Retirement</t>
        </is>
      </c>
      <c r="AL1" s="32" t="inlineStr">
        <is>
          <t>Recovery / Retirement Summary</t>
        </is>
      </c>
      <c r="AM1" s="32" t="inlineStr">
        <is>
          <t>Recovery Persistence</t>
        </is>
      </c>
      <c r="AN1" s="32" t="inlineStr">
        <is>
          <t>Recovery Persistence Summary</t>
        </is>
      </c>
      <c r="AO1" s="32" t="inlineStr">
        <is>
          <t>Relapse Churn</t>
        </is>
      </c>
      <c r="AP1" s="32" t="inlineStr">
        <is>
          <t>Relapse Churn Summary</t>
        </is>
      </c>
      <c r="AQ1" s="32" t="inlineStr">
        <is>
          <t>Recovery Freshness</t>
        </is>
      </c>
      <c r="AR1" s="32" t="inlineStr">
        <is>
          <t>Recovery Freshness Summary</t>
        </is>
      </c>
      <c r="AS1" s="32" t="inlineStr">
        <is>
          <t>Recovery Memory Reset</t>
        </is>
      </c>
      <c r="AT1" s="32" t="inlineStr">
        <is>
          <t>Recovery Memory Reset Summary</t>
        </is>
      </c>
      <c r="AU1" s="32" t="inlineStr">
        <is>
          <t>Recovery Rebuild Strength</t>
        </is>
      </c>
      <c r="AV1" s="32" t="inlineStr">
        <is>
          <t>Recovery Rebuild Strength Summary</t>
        </is>
      </c>
      <c r="AW1" s="32" t="inlineStr">
        <is>
          <t>Recovery Reacquisition</t>
        </is>
      </c>
      <c r="AX1" s="32" t="inlineStr">
        <is>
          <t>Recovery Reacquisition Summary</t>
        </is>
      </c>
      <c r="AY1" s="32" t="inlineStr">
        <is>
          <t>Reacquisition Durability</t>
        </is>
      </c>
      <c r="AZ1" s="32" t="inlineStr">
        <is>
          <t>Reacquisition Durability Summary</t>
        </is>
      </c>
      <c r="BA1" s="32" t="inlineStr">
        <is>
          <t>Reacquisition Confidence</t>
        </is>
      </c>
      <c r="BB1" s="32" t="inlineStr">
        <is>
          <t>Reacquisition Confidence Summary</t>
        </is>
      </c>
      <c r="BC1" s="32" t="inlineStr">
        <is>
          <t>Reacquisition Softening Decay</t>
        </is>
      </c>
      <c r="BD1" s="32" t="inlineStr">
        <is>
          <t>Reacquisition Softening Decay Summary</t>
        </is>
      </c>
      <c r="BE1" s="32" t="inlineStr">
        <is>
          <t>Reacquisition Confidence Retirement</t>
        </is>
      </c>
      <c r="BF1" s="32" t="inlineStr">
        <is>
          <t>Reacquisition Confidence Retirement Summary</t>
        </is>
      </c>
      <c r="BG1" s="32" t="inlineStr">
        <is>
          <t>Revalidation Recovery</t>
        </is>
      </c>
      <c r="BH1" s="32" t="inlineStr">
        <is>
          <t>Revalidation Recovery Summary</t>
        </is>
      </c>
      <c r="BI1" s="32" t="inlineStr">
        <is>
          <t>What Would Count As Progress</t>
        </is>
      </c>
      <c r="BJ1" s="32" t="inlineStr">
        <is>
          <t>Catalog</t>
        </is>
      </c>
      <c r="BK1" s="32" t="inlineStr">
        <is>
          <t>Operating Path</t>
        </is>
      </c>
      <c r="BL1" s="32" t="inlineStr">
        <is>
          <t>Intent Alignment</t>
        </is>
      </c>
      <c r="BM1" s="32" t="inlineStr">
        <is>
          <t>Scorecard</t>
        </is>
      </c>
      <c r="BN1" s="32" t="inlineStr">
        <is>
          <t>Maturity Gap</t>
        </is>
      </c>
      <c r="BO1" s="32" t="inlineStr">
        <is>
          <t>Where To Start Summary</t>
        </is>
      </c>
      <c r="BP1" s="32" t="inlineStr">
        <is>
          <t>Implementation Hotspot 1</t>
        </is>
      </c>
      <c r="BQ1" s="32" t="inlineStr">
        <is>
          <t>Implementation Hotspot 2</t>
        </is>
      </c>
      <c r="BR1" s="32" t="inlineStr">
        <is>
          <t>Implementation Hotspot 3</t>
        </is>
      </c>
    </row>
    <row r="2">
      <c r="A2" s="10" t="inlineStr">
        <is>
          <t>RepoA</t>
        </is>
      </c>
      <c r="B2" s="10" t="inlineStr">
        <is>
          <t>https://github.com/sample-user/RepoA</t>
        </is>
      </c>
      <c r="C2" s="10" t="inlineStr">
        <is>
          <t>Python</t>
        </is>
      </c>
      <c r="D2" s="10" t="inlineStr">
        <is>
          <t>A polished shipped project.</t>
        </is>
      </c>
      <c r="E2" s="30" t="n">
        <v>0.88</v>
      </c>
      <c r="F2" s="30" t="n">
        <v>0.61</v>
      </c>
      <c r="G2" s="10" t="inlineStr">
        <is>
          <t>A</t>
        </is>
      </c>
      <c r="H2" s="10" t="inlineStr">
        <is>
          <t>shipped</t>
        </is>
      </c>
      <c r="I2" s="10" t="inlineStr">
        <is>
          <t>fresh, tested</t>
        </is>
      </c>
      <c r="J2" s="10" t="inlineStr">
        <is>
          <t>None</t>
        </is>
      </c>
      <c r="K2" s="10" t="inlineStr">
        <is>
          <t>showcase</t>
        </is>
      </c>
      <c r="L2" s="10" t="inlineStr">
        <is>
          <t>healthy</t>
        </is>
      </c>
      <c r="M2" s="30" t="n">
        <v>0.82</v>
      </c>
      <c r="N2" s="10" t="inlineStr">
        <is>
          <t>Ready</t>
        </is>
      </c>
      <c r="O2" s="10" t="inlineStr">
        <is>
          <t>Holding</t>
        </is>
      </c>
      <c r="P2" s="10" t="inlineStr">
        <is>
          <t>Healthy</t>
        </is>
      </c>
      <c r="Q2" s="10" t="inlineStr">
        <is>
          <t>Strong</t>
        </is>
      </c>
      <c r="R2" s="10" t="inlineStr"/>
      <c r="S2" s="10" t="inlineStr">
        <is>
          <t>Testing (0.90), Documentation (0.85), Security (0.82)</t>
        </is>
      </c>
      <c r="T2" s="10" t="inlineStr">
        <is>
          <t>Security (0.82), Documentation (0.85), Testing (0.90)</t>
        </is>
      </c>
      <c r="U2" s="10" t="inlineStr">
        <is>
          <t>Already at shipped tier; focus on protecting momentum and preventing drift.</t>
        </is>
      </c>
      <c r="V2" s="10" t="inlineStr">
        <is>
          <t>Tidy the release notes and publish the next small maintenance release.</t>
        </is>
      </c>
      <c r="W2" s="10" t="inlineStr">
        <is>
          <t>No action rationale is recorded yet.</t>
        </is>
      </c>
      <c r="X2" s="10" t="inlineStr">
        <is>
          <t>Keep release notes fresh</t>
        </is>
      </c>
      <c r="Y2" s="10" t="inlineStr">
        <is>
          <t>No secondary hotspot recorded yet.</t>
        </is>
      </c>
      <c r="Z2" s="10" t="inlineStr">
        <is>
          <t>No third hotspot recorded yet.</t>
        </is>
      </c>
      <c r="AA2" s="10" t="inlineStr">
        <is>
          <t>Tidy the release notes and publish the next small maintenance release.</t>
        </is>
      </c>
      <c r="AB2" s="10" t="inlineStr">
        <is>
          <t>No second action candidate recorded yet.</t>
        </is>
      </c>
      <c r="AC2" s="10" t="inlineStr">
        <is>
          <t>No third action candidate recorded yet.</t>
        </is>
      </c>
      <c r="AD2" s="10" t="inlineStr">
        <is>
          <t>Current run</t>
        </is>
      </c>
      <c r="AE2" s="10" t="inlineStr">
        <is>
          <t>A small polish pass would keep the showcase repo strong.</t>
        </is>
      </c>
      <c r="AF2" s="10" t="inlineStr">
        <is>
          <t>Unknown</t>
        </is>
      </c>
      <c r="AG2" s="10" t="inlineStr">
        <is>
          <t>No follow-through evidence is recorded yet.</t>
        </is>
      </c>
      <c r="AH2" s="10" t="inlineStr">
        <is>
          <t>Unknown</t>
        </is>
      </c>
      <c r="AI2" s="10" t="inlineStr">
        <is>
          <t>Unknown</t>
        </is>
      </c>
      <c r="AJ2" s="10" t="inlineStr">
        <is>
          <t>No stronger follow-through escalation is currently surfaced.</t>
        </is>
      </c>
      <c r="AK2" s="10" t="inlineStr">
        <is>
          <t>None</t>
        </is>
      </c>
      <c r="AL2" s="10" t="inlineStr">
        <is>
          <t>No follow-through recovery or escalation-retirement signal is currently surfaced.</t>
        </is>
      </c>
      <c r="AM2" s="10" t="inlineStr">
        <is>
          <t>None</t>
        </is>
      </c>
      <c r="AN2" s="10" t="inlineStr">
        <is>
          <t>No follow-through recovery persistence signal is currently surfaced.</t>
        </is>
      </c>
      <c r="AO2" s="10" t="inlineStr">
        <is>
          <t>None</t>
        </is>
      </c>
      <c r="AP2" s="10" t="inlineStr">
        <is>
          <t>No relapse churn is currently surfaced.</t>
        </is>
      </c>
      <c r="AQ2" s="10" t="inlineStr">
        <is>
          <t>None</t>
        </is>
      </c>
      <c r="AR2" s="10" t="inlineStr">
        <is>
          <t>No follow-through recovery freshness signal is currently surfaced.</t>
        </is>
      </c>
      <c r="AS2" s="10" t="inlineStr">
        <is>
          <t>None</t>
        </is>
      </c>
      <c r="AT2" s="10" t="inlineStr">
        <is>
          <t>No follow-through recovery memory reset signal is currently surfaced.</t>
        </is>
      </c>
      <c r="AU2" s="10" t="inlineStr">
        <is>
          <t>None</t>
        </is>
      </c>
      <c r="AV2" s="10" t="inlineStr">
        <is>
          <t>No follow-through recovery rebuild-strength signal is currently surfaced.</t>
        </is>
      </c>
      <c r="AW2" s="10" t="inlineStr">
        <is>
          <t>None</t>
        </is>
      </c>
      <c r="AX2" s="10" t="inlineStr">
        <is>
          <t>No follow-through recovery reacquisition signal is currently surfaced.</t>
        </is>
      </c>
      <c r="AY2" s="10" t="inlineStr">
        <is>
          <t>None</t>
        </is>
      </c>
      <c r="AZ2" s="10" t="inlineStr">
        <is>
          <t>No follow-through reacquisition durability signal is currently surfaced.</t>
        </is>
      </c>
      <c r="BA2" s="10" t="inlineStr">
        <is>
          <t>None</t>
        </is>
      </c>
      <c r="BB2" s="10" t="inlineStr">
        <is>
          <t>No follow-through reacquisition confidence-consolidation signal is currently surfaced.</t>
        </is>
      </c>
      <c r="BC2" s="10" t="inlineStr">
        <is>
          <t>None</t>
        </is>
      </c>
      <c r="BD2" s="10" t="inlineStr">
        <is>
          <t>No reacquisition softening-decay signal is currently surfaced.</t>
        </is>
      </c>
      <c r="BE2" s="10" t="inlineStr">
        <is>
          <t>None</t>
        </is>
      </c>
      <c r="BF2" s="10" t="inlineStr">
        <is>
          <t>No reacquisition confidence-retirement signal is currently surfaced.</t>
        </is>
      </c>
      <c r="BG2" s="10" t="inlineStr">
        <is>
          <t>None</t>
        </is>
      </c>
      <c r="BH2" s="10" t="inlineStr">
        <is>
          <t>No post-revalidation recovery or confidence re-earning signal is currently surfaced.</t>
        </is>
      </c>
      <c r="BI2" s="10" t="inlineStr">
        <is>
          <t>Use the next run or linked artifact to confirm whether the recommendation moved.</t>
        </is>
      </c>
      <c r="BJ2" s="10" t="inlineStr">
        <is>
          <t>No portfolio catalog contract is recorded yet.</t>
        </is>
      </c>
      <c r="BK2" s="10" t="inlineStr">
        <is>
          <t>Operating Path: Unspecified (legacy confidence) — No operating-path rationale is recorded yet.</t>
        </is>
      </c>
      <c r="BL2" s="10" t="inlineStr">
        <is>
          <t>missing-contract: Intent alignment cannot be judged until a portfolio catalog contract exists.</t>
        </is>
      </c>
      <c r="BM2" s="10" t="inlineStr">
        <is>
          <t>Scorecard: No maturity scorecard is recorded yet.</t>
        </is>
      </c>
      <c r="BN2" s="10" t="inlineStr">
        <is>
          <t>No maturity gap summary is recorded yet.</t>
        </is>
      </c>
      <c r="BO2" s="10" t="inlineStr">
        <is>
          <t>No meaningful implementation hotspot is currently surfaced.</t>
        </is>
      </c>
      <c r="BP2" s="10" t="inlineStr">
        <is>
          <t>No implementation hotspot is currently surfaced.</t>
        </is>
      </c>
      <c r="BQ2" s="10" t="inlineStr">
        <is>
          <t>No second implementation hotspot is currently surfaced.</t>
        </is>
      </c>
      <c r="BR2" s="10" t="inlineStr">
        <is>
          <t>No third implementation hotspot is currently surfaced.</t>
        </is>
      </c>
      <c r="BS2" s="10" t="inlineStr">
        <is>
          <t>—</t>
        </is>
      </c>
      <c r="BT2" s="10" t="inlineStr">
        <is>
          <t>—</t>
        </is>
      </c>
      <c r="BU2" s="10" t="inlineStr">
        <is>
          <t>—</t>
        </is>
      </c>
      <c r="BV2" s="10" t="inlineStr">
        <is>
          <t>—</t>
        </is>
      </c>
      <c r="BW2" s="10" t="inlineStr">
        <is>
          <t>No</t>
        </is>
      </c>
      <c r="BX2" s="10" t="inlineStr">
        <is>
          <t>—</t>
        </is>
      </c>
      <c r="BY2" s="10" t="inlineStr">
        <is>
          <t>—</t>
        </is>
      </c>
      <c r="BZ2" s="10" t="inlineStr">
        <is>
          <t>—</t>
        </is>
      </c>
      <c r="CA2" s="10" t="inlineStr">
        <is>
          <t>—</t>
        </is>
      </c>
    </row>
    <row r="3">
      <c r="A3" s="10" t="inlineStr">
        <is>
          <t>RepoB</t>
        </is>
      </c>
      <c r="B3" s="10" t="inlineStr">
        <is>
          <t>https://github.com/sample-user/RepoB</t>
        </is>
      </c>
      <c r="C3" s="10" t="inlineStr">
        <is>
          <t>TypeScript</t>
        </is>
      </c>
      <c r="D3" s="10" t="inlineStr">
        <is>
          <t>A functional project with follow-through left to do.</t>
        </is>
      </c>
      <c r="E3" s="30" t="n">
        <v>0.62</v>
      </c>
      <c r="F3" s="30" t="n">
        <v>0.37</v>
      </c>
      <c r="G3" s="10" t="inlineStr">
        <is>
          <t>C</t>
        </is>
      </c>
      <c r="H3" s="10" t="inlineStr">
        <is>
          <t>functional</t>
        </is>
      </c>
      <c r="I3" s="10" t="inlineStr">
        <is>
          <t>None</t>
        </is>
      </c>
      <c r="J3" s="10" t="inlineStr">
        <is>
          <t>release-checklist-open</t>
        </is>
      </c>
      <c r="K3" s="10" t="inlineStr">
        <is>
          <t>—</t>
        </is>
      </c>
      <c r="L3" s="10" t="inlineStr">
        <is>
          <t>watch</t>
        </is>
      </c>
      <c r="M3" s="30" t="n">
        <v>0.66</v>
      </c>
      <c r="N3" s="10" t="inlineStr">
        <is>
          <t>Needs work</t>
        </is>
      </c>
      <c r="O3" s="10" t="inlineStr">
        <is>
          <t>Mixed</t>
        </is>
      </c>
      <c r="P3" s="10" t="inlineStr">
        <is>
          <t>Watch</t>
        </is>
      </c>
      <c r="Q3" s="10" t="inlineStr">
        <is>
          <t>Useful</t>
        </is>
      </c>
      <c r="R3" s="10" t="inlineStr"/>
      <c r="S3" s="10" t="inlineStr">
        <is>
          <t>Security (0.66), Testing (0.55), Release (0.48)</t>
        </is>
      </c>
      <c r="T3" s="10" t="inlineStr">
        <is>
          <t>Release (0.48), Testing (0.55), Security (0.66)</t>
        </is>
      </c>
      <c r="U3" s="10" t="inlineStr">
        <is>
          <t>Needs +0.13 to reach shipped.</t>
        </is>
      </c>
      <c r="V3" s="10" t="inlineStr">
        <is>
          <t>Re-run the release checklist and close the missing item.</t>
        </is>
      </c>
      <c r="W3" s="10" t="inlineStr">
        <is>
          <t>No action rationale is recorded yet.</t>
        </is>
      </c>
      <c r="X3" s="10" t="inlineStr">
        <is>
          <t>Finish release checklist</t>
        </is>
      </c>
      <c r="Y3" s="10" t="inlineStr">
        <is>
          <t>No secondary hotspot recorded yet.</t>
        </is>
      </c>
      <c r="Z3" s="10" t="inlineStr">
        <is>
          <t>No third hotspot recorded yet.</t>
        </is>
      </c>
      <c r="AA3" s="10" t="inlineStr">
        <is>
          <t>Re-run the release checklist and close the missing item.</t>
        </is>
      </c>
      <c r="AB3" s="10" t="inlineStr">
        <is>
          <t>No second action candidate recorded yet.</t>
        </is>
      </c>
      <c r="AC3" s="10" t="inlineStr">
        <is>
          <t>No third action candidate recorded yet.</t>
        </is>
      </c>
      <c r="AD3" s="10" t="inlineStr">
        <is>
          <t>Current run</t>
        </is>
      </c>
      <c r="AE3" s="10" t="inlineStr">
        <is>
          <t>RepoB needs a small release follow-through pass.</t>
        </is>
      </c>
      <c r="AF3" s="10" t="inlineStr">
        <is>
          <t>Unknown</t>
        </is>
      </c>
      <c r="AG3" s="10" t="inlineStr">
        <is>
          <t>No follow-through evidence is recorded yet.</t>
        </is>
      </c>
      <c r="AH3" s="10" t="inlineStr">
        <is>
          <t>Unknown</t>
        </is>
      </c>
      <c r="AI3" s="10" t="inlineStr">
        <is>
          <t>Unknown</t>
        </is>
      </c>
      <c r="AJ3" s="10" t="inlineStr">
        <is>
          <t>No stronger follow-through escalation is currently surfaced.</t>
        </is>
      </c>
      <c r="AK3" s="10" t="inlineStr">
        <is>
          <t>None</t>
        </is>
      </c>
      <c r="AL3" s="10" t="inlineStr">
        <is>
          <t>No follow-through recovery or escalation-retirement signal is currently surfaced.</t>
        </is>
      </c>
      <c r="AM3" s="10" t="inlineStr">
        <is>
          <t>None</t>
        </is>
      </c>
      <c r="AN3" s="10" t="inlineStr">
        <is>
          <t>No follow-through recovery persistence signal is currently surfaced.</t>
        </is>
      </c>
      <c r="AO3" s="10" t="inlineStr">
        <is>
          <t>None</t>
        </is>
      </c>
      <c r="AP3" s="10" t="inlineStr">
        <is>
          <t>No relapse churn is currently surfaced.</t>
        </is>
      </c>
      <c r="AQ3" s="10" t="inlineStr">
        <is>
          <t>None</t>
        </is>
      </c>
      <c r="AR3" s="10" t="inlineStr">
        <is>
          <t>No follow-through recovery freshness signal is currently surfaced.</t>
        </is>
      </c>
      <c r="AS3" s="10" t="inlineStr">
        <is>
          <t>None</t>
        </is>
      </c>
      <c r="AT3" s="10" t="inlineStr">
        <is>
          <t>No follow-through recovery memory reset signal is currently surfaced.</t>
        </is>
      </c>
      <c r="AU3" s="10" t="inlineStr">
        <is>
          <t>None</t>
        </is>
      </c>
      <c r="AV3" s="10" t="inlineStr">
        <is>
          <t>No follow-through recovery rebuild-strength signal is currently surfaced.</t>
        </is>
      </c>
      <c r="AW3" s="10" t="inlineStr">
        <is>
          <t>None</t>
        </is>
      </c>
      <c r="AX3" s="10" t="inlineStr">
        <is>
          <t>No follow-through recovery reacquisition signal is currently surfaced.</t>
        </is>
      </c>
      <c r="AY3" s="10" t="inlineStr">
        <is>
          <t>None</t>
        </is>
      </c>
      <c r="AZ3" s="10" t="inlineStr">
        <is>
          <t>No follow-through reacquisition durability signal is currently surfaced.</t>
        </is>
      </c>
      <c r="BA3" s="10" t="inlineStr">
        <is>
          <t>None</t>
        </is>
      </c>
      <c r="BB3" s="10" t="inlineStr">
        <is>
          <t>No follow-through reacquisition confidence-consolidation signal is currently surfaced.</t>
        </is>
      </c>
      <c r="BC3" s="10" t="inlineStr">
        <is>
          <t>None</t>
        </is>
      </c>
      <c r="BD3" s="10" t="inlineStr">
        <is>
          <t>No reacquisition softening-decay signal is currently surfaced.</t>
        </is>
      </c>
      <c r="BE3" s="10" t="inlineStr">
        <is>
          <t>None</t>
        </is>
      </c>
      <c r="BF3" s="10" t="inlineStr">
        <is>
          <t>No reacquisition confidence-retirement signal is currently surfaced.</t>
        </is>
      </c>
      <c r="BG3" s="10" t="inlineStr">
        <is>
          <t>None</t>
        </is>
      </c>
      <c r="BH3" s="10" t="inlineStr">
        <is>
          <t>No post-revalidation recovery or confidence re-earning signal is currently surfaced.</t>
        </is>
      </c>
      <c r="BI3" s="10" t="inlineStr">
        <is>
          <t>Use the next run or linked artifact to confirm whether the recommendation moved.</t>
        </is>
      </c>
      <c r="BJ3" s="10" t="inlineStr">
        <is>
          <t>No portfolio catalog contract is recorded yet.</t>
        </is>
      </c>
      <c r="BK3" s="10" t="inlineStr">
        <is>
          <t>Operating Path: Unspecified (legacy confidence) — No operating-path rationale is recorded yet.</t>
        </is>
      </c>
      <c r="BL3" s="10" t="inlineStr">
        <is>
          <t>missing-contract: Intent alignment cannot be judged until a portfolio catalog contract exists.</t>
        </is>
      </c>
      <c r="BM3" s="10" t="inlineStr">
        <is>
          <t>Scorecard: No maturity scorecard is recorded yet.</t>
        </is>
      </c>
      <c r="BN3" s="10" t="inlineStr">
        <is>
          <t>No maturity gap summary is recorded yet.</t>
        </is>
      </c>
      <c r="BO3" s="10" t="inlineStr">
        <is>
          <t>No meaningful implementation hotspot is currently surfaced.</t>
        </is>
      </c>
      <c r="BP3" s="10" t="inlineStr">
        <is>
          <t>No implementation hotspot is currently surfaced.</t>
        </is>
      </c>
      <c r="BQ3" s="10" t="inlineStr">
        <is>
          <t>No second implementation hotspot is currently surfaced.</t>
        </is>
      </c>
      <c r="BR3" s="10" t="inlineStr">
        <is>
          <t>No third implementation hotspot is currently surfaced.</t>
        </is>
      </c>
      <c r="BS3" s="10" t="inlineStr">
        <is>
          <t>—</t>
        </is>
      </c>
      <c r="BT3" s="10" t="inlineStr">
        <is>
          <t>—</t>
        </is>
      </c>
      <c r="BU3" s="10" t="inlineStr">
        <is>
          <t>—</t>
        </is>
      </c>
      <c r="BV3" s="10" t="inlineStr">
        <is>
          <t>—</t>
        </is>
      </c>
      <c r="BW3" s="10" t="inlineStr">
        <is>
          <t>No</t>
        </is>
      </c>
      <c r="BX3" s="10" t="inlineStr">
        <is>
          <t>—</t>
        </is>
      </c>
      <c r="BY3" s="10" t="inlineStr">
        <is>
          <t>—</t>
        </is>
      </c>
      <c r="BZ3" s="10" t="inlineStr">
        <is>
          <t>—</t>
        </is>
      </c>
      <c r="CA3" s="10" t="inlineStr">
        <is>
          <t>—</t>
        </is>
      </c>
    </row>
    <row r="4">
      <c r="A4" s="10" t="inlineStr">
        <is>
          <t>RepoC</t>
        </is>
      </c>
      <c r="B4" s="10" t="inlineStr">
        <is>
          <t>https://github.com/sample-user/RepoC</t>
        </is>
      </c>
      <c r="C4" s="10" t="inlineStr">
        <is>
          <t>Python</t>
        </is>
      </c>
      <c r="D4" s="10" t="inlineStr">
        <is>
          <t>A risky work-in-progress project.</t>
        </is>
      </c>
      <c r="E4" s="30" t="n">
        <v>0.44</v>
      </c>
      <c r="F4" s="30" t="n">
        <v>0.16</v>
      </c>
      <c r="G4" s="10" t="inlineStr">
        <is>
          <t>D</t>
        </is>
      </c>
      <c r="H4" s="10" t="inlineStr">
        <is>
          <t>wip</t>
        </is>
      </c>
      <c r="I4" s="10" t="inlineStr">
        <is>
          <t>None</t>
        </is>
      </c>
      <c r="J4" s="10" t="inlineStr">
        <is>
          <t>no-tests, security-review</t>
        </is>
      </c>
      <c r="K4" s="10" t="inlineStr">
        <is>
          <t>—</t>
        </is>
      </c>
      <c r="L4" s="10" t="inlineStr">
        <is>
          <t>critical</t>
        </is>
      </c>
      <c r="M4" s="30" t="n">
        <v>0.28</v>
      </c>
      <c r="N4" s="10" t="inlineStr">
        <is>
          <t>Thin</t>
        </is>
      </c>
      <c r="O4" s="10" t="inlineStr">
        <is>
          <t>Fragile</t>
        </is>
      </c>
      <c r="P4" s="10" t="inlineStr">
        <is>
          <t>Risky</t>
        </is>
      </c>
      <c r="Q4" s="10" t="inlineStr">
        <is>
          <t>Questionable</t>
        </is>
      </c>
      <c r="R4" s="10" t="inlineStr"/>
      <c r="S4" s="10" t="inlineStr">
        <is>
          <t>Security (0.28), Testing (0.18)</t>
        </is>
      </c>
      <c r="T4" s="10" t="inlineStr">
        <is>
          <t>Testing (0.18), Security (0.28)</t>
        </is>
      </c>
      <c r="U4" s="10" t="inlineStr">
        <is>
          <t>Needs +0.31 to reach shipped.</t>
        </is>
      </c>
      <c r="V4" s="10" t="inlineStr">
        <is>
          <t>Open the governed control preview and decide whether to apply CodeQL.</t>
        </is>
      </c>
      <c r="W4" s="10" t="inlineStr">
        <is>
          <t>No action rationale is recorded yet.</t>
        </is>
      </c>
      <c r="X4" s="10" t="inlineStr">
        <is>
          <t>Security posture needs attention</t>
        </is>
      </c>
      <c r="Y4" s="10" t="inlineStr">
        <is>
          <t>No secondary hotspot recorded yet.</t>
        </is>
      </c>
      <c r="Z4" s="10" t="inlineStr">
        <is>
          <t>No third hotspot recorded yet.</t>
        </is>
      </c>
      <c r="AA4" s="10" t="inlineStr">
        <is>
          <t>Open the governed control preview and decide whether to apply CodeQL.</t>
        </is>
      </c>
      <c r="AB4" s="10" t="inlineStr">
        <is>
          <t>No second action candidate recorded yet.</t>
        </is>
      </c>
      <c r="AC4" s="10" t="inlineStr">
        <is>
          <t>No third action candidate recorded yet.</t>
        </is>
      </c>
      <c r="AD4" s="10" t="inlineStr">
        <is>
          <t>Current run</t>
        </is>
      </c>
      <c r="AE4" s="10" t="inlineStr">
        <is>
          <t>RepoC still needs a governance decision before the security review can settle.</t>
        </is>
      </c>
      <c r="AF4" s="10" t="inlineStr">
        <is>
          <t>Unknown</t>
        </is>
      </c>
      <c r="AG4" s="10" t="inlineStr">
        <is>
          <t>No follow-through evidence is recorded yet.</t>
        </is>
      </c>
      <c r="AH4" s="10" t="inlineStr">
        <is>
          <t>Unknown</t>
        </is>
      </c>
      <c r="AI4" s="10" t="inlineStr">
        <is>
          <t>Unknown</t>
        </is>
      </c>
      <c r="AJ4" s="10" t="inlineStr">
        <is>
          <t>No stronger follow-through escalation is currently surfaced.</t>
        </is>
      </c>
      <c r="AK4" s="10" t="inlineStr">
        <is>
          <t>None</t>
        </is>
      </c>
      <c r="AL4" s="10" t="inlineStr">
        <is>
          <t>No follow-through recovery or escalation-retirement signal is currently surfaced.</t>
        </is>
      </c>
      <c r="AM4" s="10" t="inlineStr">
        <is>
          <t>None</t>
        </is>
      </c>
      <c r="AN4" s="10" t="inlineStr">
        <is>
          <t>No follow-through recovery persistence signal is currently surfaced.</t>
        </is>
      </c>
      <c r="AO4" s="10" t="inlineStr">
        <is>
          <t>None</t>
        </is>
      </c>
      <c r="AP4" s="10" t="inlineStr">
        <is>
          <t>No relapse churn is currently surfaced.</t>
        </is>
      </c>
      <c r="AQ4" s="10" t="inlineStr">
        <is>
          <t>None</t>
        </is>
      </c>
      <c r="AR4" s="10" t="inlineStr">
        <is>
          <t>No follow-through recovery freshness signal is currently surfaced.</t>
        </is>
      </c>
      <c r="AS4" s="10" t="inlineStr">
        <is>
          <t>None</t>
        </is>
      </c>
      <c r="AT4" s="10" t="inlineStr">
        <is>
          <t>No follow-through recovery memory reset signal is currently surfaced.</t>
        </is>
      </c>
      <c r="AU4" s="10" t="inlineStr">
        <is>
          <t>None</t>
        </is>
      </c>
      <c r="AV4" s="10" t="inlineStr">
        <is>
          <t>No follow-through recovery rebuild-strength signal is currently surfaced.</t>
        </is>
      </c>
      <c r="AW4" s="10" t="inlineStr">
        <is>
          <t>None</t>
        </is>
      </c>
      <c r="AX4" s="10" t="inlineStr">
        <is>
          <t>No follow-through recovery reacquisition signal is currently surfaced.</t>
        </is>
      </c>
      <c r="AY4" s="10" t="inlineStr">
        <is>
          <t>None</t>
        </is>
      </c>
      <c r="AZ4" s="10" t="inlineStr">
        <is>
          <t>No follow-through reacquisition durability signal is currently surfaced.</t>
        </is>
      </c>
      <c r="BA4" s="10" t="inlineStr">
        <is>
          <t>None</t>
        </is>
      </c>
      <c r="BB4" s="10" t="inlineStr">
        <is>
          <t>No follow-through reacquisition confidence-consolidation signal is currently surfaced.</t>
        </is>
      </c>
      <c r="BC4" s="10" t="inlineStr">
        <is>
          <t>None</t>
        </is>
      </c>
      <c r="BD4" s="10" t="inlineStr">
        <is>
          <t>No reacquisition softening-decay signal is currently surfaced.</t>
        </is>
      </c>
      <c r="BE4" s="10" t="inlineStr">
        <is>
          <t>None</t>
        </is>
      </c>
      <c r="BF4" s="10" t="inlineStr">
        <is>
          <t>No reacquisition confidence-retirement signal is currently surfaced.</t>
        </is>
      </c>
      <c r="BG4" s="10" t="inlineStr">
        <is>
          <t>None</t>
        </is>
      </c>
      <c r="BH4" s="10" t="inlineStr">
        <is>
          <t>No post-revalidation recovery or confidence re-earning signal is currently surfaced.</t>
        </is>
      </c>
      <c r="BI4" s="10" t="inlineStr">
        <is>
          <t>Use the next run or linked artifact to confirm whether the recommendation moved.</t>
        </is>
      </c>
      <c r="BJ4" s="10" t="inlineStr">
        <is>
          <t>No portfolio catalog contract is recorded yet.</t>
        </is>
      </c>
      <c r="BK4" s="10" t="inlineStr">
        <is>
          <t>Operating Path: Unspecified (legacy confidence) — No operating-path rationale is recorded yet.</t>
        </is>
      </c>
      <c r="BL4" s="10" t="inlineStr">
        <is>
          <t>missing-contract: Intent alignment cannot be judged until a portfolio catalog contract exists.</t>
        </is>
      </c>
      <c r="BM4" s="10" t="inlineStr">
        <is>
          <t>Scorecard: No maturity scorecard is recorded yet.</t>
        </is>
      </c>
      <c r="BN4" s="10" t="inlineStr">
        <is>
          <t>No maturity gap summary is recorded yet.</t>
        </is>
      </c>
      <c r="BO4" s="10" t="inlineStr">
        <is>
          <t>No meaningful implementation hotspot is currently surfaced.</t>
        </is>
      </c>
      <c r="BP4" s="10" t="inlineStr">
        <is>
          <t>No implementation hotspot is currently surfaced.</t>
        </is>
      </c>
      <c r="BQ4" s="10" t="inlineStr">
        <is>
          <t>No second implementation hotspot is currently surfaced.</t>
        </is>
      </c>
      <c r="BR4" s="10" t="inlineStr">
        <is>
          <t>No third implementation hotspot is currently surfaced.</t>
        </is>
      </c>
      <c r="BS4" s="10" t="inlineStr">
        <is>
          <t>—</t>
        </is>
      </c>
      <c r="BT4" s="10" t="inlineStr">
        <is>
          <t>—</t>
        </is>
      </c>
      <c r="BU4" s="10" t="inlineStr">
        <is>
          <t>—</t>
        </is>
      </c>
      <c r="BV4" s="10" t="inlineStr">
        <is>
          <t>—</t>
        </is>
      </c>
      <c r="BW4" s="10" t="inlineStr">
        <is>
          <t>No</t>
        </is>
      </c>
      <c r="BX4" s="10" t="inlineStr">
        <is>
          <t>—</t>
        </is>
      </c>
      <c r="BY4" s="10" t="inlineStr">
        <is>
          <t>—</t>
        </is>
      </c>
      <c r="BZ4" s="10" t="inlineStr">
        <is>
          <t>—</t>
        </is>
      </c>
      <c r="CA4" s="10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Lookup Key</t>
        </is>
      </c>
      <c r="B1" s="32" t="inlineStr">
        <is>
          <t>Repo</t>
        </is>
      </c>
      <c r="C1" s="32" t="inlineStr">
        <is>
          <t>Rank</t>
        </is>
      </c>
      <c r="D1" s="32" t="inlineStr">
        <is>
          <t>Dimension</t>
        </is>
      </c>
      <c r="E1" s="32" t="inlineStr">
        <is>
          <t>Score</t>
        </is>
      </c>
      <c r="F1" s="32" t="inlineStr">
        <is>
          <t>Summary</t>
        </is>
      </c>
    </row>
    <row r="2">
      <c r="A2" s="10" t="inlineStr">
        <is>
          <t>RepoA::1</t>
        </is>
      </c>
      <c r="B2" s="10" t="inlineStr">
        <is>
          <t>RepoA</t>
        </is>
      </c>
      <c r="C2" s="30" t="n">
        <v>1</v>
      </c>
      <c r="D2" s="10" t="inlineStr">
        <is>
          <t>documentation</t>
        </is>
      </c>
      <c r="E2" s="30" t="n">
        <v>0.85</v>
      </c>
      <c r="F2" s="10" t="inlineStr">
        <is>
          <t>README is strong</t>
        </is>
      </c>
    </row>
    <row r="3">
      <c r="A3" s="10" t="inlineStr">
        <is>
          <t>RepoA::2</t>
        </is>
      </c>
      <c r="B3" s="10" t="inlineStr">
        <is>
          <t>RepoA</t>
        </is>
      </c>
      <c r="C3" s="30" t="n">
        <v>2</v>
      </c>
      <c r="D3" s="10" t="inlineStr">
        <is>
          <t>testing</t>
        </is>
      </c>
      <c r="E3" s="30" t="n">
        <v>0.9</v>
      </c>
      <c r="F3" s="10" t="inlineStr">
        <is>
          <t>Healthy test coverage</t>
        </is>
      </c>
    </row>
    <row r="4">
      <c r="A4" s="10" t="inlineStr">
        <is>
          <t>RepoB::1</t>
        </is>
      </c>
      <c r="B4" s="10" t="inlineStr">
        <is>
          <t>RepoB</t>
        </is>
      </c>
      <c r="C4" s="30" t="n">
        <v>1</v>
      </c>
      <c r="D4" s="10" t="inlineStr">
        <is>
          <t>release</t>
        </is>
      </c>
      <c r="E4" s="30" t="n">
        <v>0.48</v>
      </c>
      <c r="F4" s="10" t="inlineStr">
        <is>
          <t>Checklist is incomplete</t>
        </is>
      </c>
    </row>
    <row r="5">
      <c r="A5" s="10" t="inlineStr">
        <is>
          <t>RepoB::2</t>
        </is>
      </c>
      <c r="B5" s="10" t="inlineStr">
        <is>
          <t>RepoB</t>
        </is>
      </c>
      <c r="C5" s="30" t="n">
        <v>2</v>
      </c>
      <c r="D5" s="10" t="inlineStr">
        <is>
          <t>testing</t>
        </is>
      </c>
      <c r="E5" s="30" t="n">
        <v>0.55</v>
      </c>
      <c r="F5" s="10" t="inlineStr">
        <is>
          <t>A few test gaps remain</t>
        </is>
      </c>
    </row>
    <row r="6">
      <c r="A6" s="10" t="inlineStr">
        <is>
          <t>RepoC::1</t>
        </is>
      </c>
      <c r="B6" s="10" t="inlineStr">
        <is>
          <t>RepoC</t>
        </is>
      </c>
      <c r="C6" s="30" t="n">
        <v>1</v>
      </c>
      <c r="D6" s="10" t="inlineStr">
        <is>
          <t>testing</t>
        </is>
      </c>
      <c r="E6" s="30" t="n">
        <v>0.18</v>
      </c>
      <c r="F6" s="10" t="inlineStr">
        <is>
          <t>No meaningful tests found</t>
        </is>
      </c>
    </row>
    <row r="7">
      <c r="A7" s="10" t="inlineStr">
        <is>
          <t>RepoC::2</t>
        </is>
      </c>
      <c r="B7" s="10" t="inlineStr">
        <is>
          <t>RepoC</t>
        </is>
      </c>
      <c r="C7" s="30" t="n">
        <v>2</v>
      </c>
      <c r="D7" s="10" t="inlineStr">
        <is>
          <t>security</t>
        </is>
      </c>
      <c r="E7" s="30" t="n">
        <v>0.22</v>
      </c>
      <c r="F7" s="10" t="inlineStr">
        <is>
          <t>Security controls are 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Run Index</t>
        </is>
      </c>
      <c r="C1" s="32" t="inlineStr">
        <is>
          <t>Score</t>
        </is>
      </c>
      <c r="D1" s="32" t="inlineStr">
        <is>
          <t>Sparkline</t>
        </is>
      </c>
    </row>
    <row r="2">
      <c r="A2" s="10" t="inlineStr">
        <is>
          <t>RepoA</t>
        </is>
      </c>
      <c r="B2" s="30" t="n">
        <v>1</v>
      </c>
      <c r="C2" s="30" t="n">
        <v>0.88</v>
      </c>
      <c r="D2" s="10" t="inlineStr"/>
    </row>
    <row r="3">
      <c r="A3" s="10" t="inlineStr">
        <is>
          <t>RepoB</t>
        </is>
      </c>
      <c r="B3" s="30" t="n">
        <v>1</v>
      </c>
      <c r="C3" s="30" t="n">
        <v>0.62</v>
      </c>
      <c r="D3" s="10" t="inlineStr"/>
    </row>
    <row r="4">
      <c r="A4" s="10" t="inlineStr">
        <is>
          <t>RepoC</t>
        </is>
      </c>
      <c r="B4" s="30" t="n">
        <v>1</v>
      </c>
      <c r="C4" s="30" t="n">
        <v>0.44</v>
      </c>
      <c r="D4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Full Name</t>
        </is>
      </c>
      <c r="C1" s="32" t="inlineStr">
        <is>
          <t>Language</t>
        </is>
      </c>
      <c r="D1" s="32" t="inlineStr">
        <is>
          <t>Private</t>
        </is>
      </c>
      <c r="E1" s="32" t="inlineStr">
        <is>
          <t>Archived</t>
        </is>
      </c>
      <c r="F1" s="32" t="inlineStr">
        <is>
          <t>Overall Score</t>
        </is>
      </c>
      <c r="G1" s="32" t="inlineStr">
        <is>
          <t>Interest Score</t>
        </is>
      </c>
      <c r="H1" s="32" t="inlineStr">
        <is>
          <t>Grade</t>
        </is>
      </c>
      <c r="I1" s="32" t="inlineStr">
        <is>
          <t>Tier</t>
        </is>
      </c>
      <c r="J1" s="32" t="inlineStr">
        <is>
          <t>Security Label</t>
        </is>
      </c>
      <c r="K1" s="32" t="inlineStr">
        <is>
          <t>Collections</t>
        </is>
      </c>
      <c r="L1" s="32" t="inlineStr">
        <is>
          <t>Ship Readiness</t>
        </is>
      </c>
      <c r="M1" s="32" t="inlineStr">
        <is>
          <t>Maintenance Risk</t>
        </is>
      </c>
      <c r="N1" s="32" t="inlineStr">
        <is>
          <t>Showcase Value</t>
        </is>
      </c>
      <c r="O1" s="32" t="inlineStr">
        <is>
          <t>Security Posture</t>
        </is>
      </c>
      <c r="P1" s="32" t="inlineStr">
        <is>
          <t>Momentum</t>
        </is>
      </c>
      <c r="Q1" s="32" t="inlineStr">
        <is>
          <t>Portfolio Fit</t>
        </is>
      </c>
    </row>
    <row r="2">
      <c r="A2" s="10" t="inlineStr">
        <is>
          <t>RepoA</t>
        </is>
      </c>
      <c r="B2" s="10" t="inlineStr">
        <is>
          <t>sample-user/RepoA</t>
        </is>
      </c>
      <c r="C2" s="10" t="inlineStr">
        <is>
          <t>Python</t>
        </is>
      </c>
      <c r="D2" s="10" t="inlineStr">
        <is>
          <t>No</t>
        </is>
      </c>
      <c r="E2" s="10" t="inlineStr">
        <is>
          <t>No</t>
        </is>
      </c>
      <c r="F2" s="30" t="n">
        <v>0.88</v>
      </c>
      <c r="G2" s="30" t="n">
        <v>0.61</v>
      </c>
      <c r="H2" s="10" t="inlineStr">
        <is>
          <t>A</t>
        </is>
      </c>
      <c r="I2" s="10" t="inlineStr">
        <is>
          <t>shipped</t>
        </is>
      </c>
      <c r="J2" s="10" t="inlineStr">
        <is>
          <t>healthy</t>
        </is>
      </c>
      <c r="K2" s="10" t="inlineStr">
        <is>
          <t>showcase</t>
        </is>
      </c>
      <c r="L2" s="30" t="n">
        <v>0.89</v>
      </c>
      <c r="M2" s="30" t="n">
        <v>0</v>
      </c>
      <c r="N2" s="30" t="n">
        <v>0</v>
      </c>
      <c r="O2" s="30" t="n">
        <v>0.82</v>
      </c>
      <c r="P2" s="30" t="n">
        <v>0.75</v>
      </c>
      <c r="Q2" s="30" t="n">
        <v>0.86</v>
      </c>
    </row>
    <row r="3">
      <c r="A3" s="10" t="inlineStr">
        <is>
          <t>RepoB</t>
        </is>
      </c>
      <c r="B3" s="10" t="inlineStr">
        <is>
          <t>sample-user/RepoB</t>
        </is>
      </c>
      <c r="C3" s="10" t="inlineStr">
        <is>
          <t>TypeScript</t>
        </is>
      </c>
      <c r="D3" s="10" t="inlineStr">
        <is>
          <t>No</t>
        </is>
      </c>
      <c r="E3" s="10" t="inlineStr">
        <is>
          <t>No</t>
        </is>
      </c>
      <c r="F3" s="30" t="n">
        <v>0.62</v>
      </c>
      <c r="G3" s="30" t="n">
        <v>0.37</v>
      </c>
      <c r="H3" s="10" t="inlineStr">
        <is>
          <t>C</t>
        </is>
      </c>
      <c r="I3" s="10" t="inlineStr">
        <is>
          <t>functional</t>
        </is>
      </c>
      <c r="J3" s="10" t="inlineStr">
        <is>
          <t>watch</t>
        </is>
      </c>
      <c r="K3" s="10" t="inlineStr"/>
      <c r="L3" s="30" t="n">
        <v>0.63</v>
      </c>
      <c r="M3" s="30" t="n">
        <v>0</v>
      </c>
      <c r="N3" s="30" t="n">
        <v>0</v>
      </c>
      <c r="O3" s="30" t="n">
        <v>0.66</v>
      </c>
      <c r="P3" s="30" t="n">
        <v>0.54</v>
      </c>
      <c r="Q3" s="30" t="n">
        <v>0.58</v>
      </c>
    </row>
    <row r="4">
      <c r="A4" s="10" t="inlineStr">
        <is>
          <t>RepoC</t>
        </is>
      </c>
      <c r="B4" s="10" t="inlineStr">
        <is>
          <t>sample-user/RepoC</t>
        </is>
      </c>
      <c r="C4" s="10" t="inlineStr">
        <is>
          <t>Python</t>
        </is>
      </c>
      <c r="D4" s="10" t="inlineStr">
        <is>
          <t>No</t>
        </is>
      </c>
      <c r="E4" s="10" t="inlineStr">
        <is>
          <t>No</t>
        </is>
      </c>
      <c r="F4" s="30" t="n">
        <v>0.44</v>
      </c>
      <c r="G4" s="30" t="n">
        <v>0.16</v>
      </c>
      <c r="H4" s="10" t="inlineStr">
        <is>
          <t>D</t>
        </is>
      </c>
      <c r="I4" s="10" t="inlineStr">
        <is>
          <t>wip</t>
        </is>
      </c>
      <c r="J4" s="10" t="inlineStr">
        <is>
          <t>critical</t>
        </is>
      </c>
      <c r="K4" s="10" t="inlineStr"/>
      <c r="L4" s="30" t="n">
        <v>0.42</v>
      </c>
      <c r="M4" s="30" t="n">
        <v>0</v>
      </c>
      <c r="N4" s="30" t="n">
        <v>0</v>
      </c>
      <c r="O4" s="30" t="n">
        <v>0.28</v>
      </c>
      <c r="P4" s="30" t="n">
        <v>0.31</v>
      </c>
      <c r="Q4" s="30" t="n">
        <v>0.36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Review ID</t>
        </is>
      </c>
      <c r="B1" s="32" t="inlineStr">
        <is>
          <t>Source Run</t>
        </is>
      </c>
      <c r="C1" s="32" t="inlineStr">
        <is>
          <t>Generated</t>
        </is>
      </c>
      <c r="D1" s="32" t="inlineStr">
        <is>
          <t>Materiality</t>
        </is>
      </c>
      <c r="E1" s="32" t="inlineStr">
        <is>
          <t>Changes</t>
        </is>
      </c>
      <c r="F1" s="32" t="inlineStr">
        <is>
          <t>Status</t>
        </is>
      </c>
      <c r="G1" s="32" t="inlineStr">
        <is>
          <t>Decision State</t>
        </is>
      </c>
      <c r="H1" s="32" t="inlineStr">
        <is>
          <t>Sync State</t>
        </is>
      </c>
      <c r="I1" s="32" t="inlineStr">
        <is>
          <t>Safe To Defer</t>
        </is>
      </c>
      <c r="J1" s="32" t="inlineStr">
        <is>
          <t>Emitted</t>
        </is>
      </c>
    </row>
    <row r="2">
      <c r="A2" s="10" t="inlineStr">
        <is>
          <t>sample-review-1</t>
        </is>
      </c>
      <c r="B2" s="10" t="inlineStr"/>
      <c r="C2" s="10" t="inlineStr">
        <is>
          <t>2026-04-12T12:00:00+00:00</t>
        </is>
      </c>
      <c r="D2" s="10" t="inlineStr"/>
      <c r="E2" s="30" t="n">
        <v>2</v>
      </c>
      <c r="F2" s="10" t="inlineStr">
        <is>
          <t>open</t>
        </is>
      </c>
      <c r="G2" s="10" t="inlineStr">
        <is>
          <t>needs-review</t>
        </is>
      </c>
      <c r="H2" s="10" t="inlineStr">
        <is>
          <t>local-only</t>
        </is>
      </c>
      <c r="I2" s="10" t="inlineStr">
        <is>
          <t>no</t>
        </is>
      </c>
      <c r="J2" s="10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Title</t>
        </is>
      </c>
      <c r="C1" s="32" t="inlineStr">
        <is>
          <t>Severity</t>
        </is>
      </c>
      <c r="D1" s="32" t="inlineStr">
        <is>
          <t>Next Step</t>
        </is>
      </c>
      <c r="E1" s="32" t="inlineStr">
        <is>
          <t>Decision Hint</t>
        </is>
      </c>
      <c r="F1" s="32" t="inlineStr">
        <is>
          <t>Safe To Defer</t>
        </is>
      </c>
    </row>
    <row r="2">
      <c r="A2" s="10" t="inlineStr">
        <is>
          <t>RepoC</t>
        </is>
      </c>
      <c r="B2" s="10" t="inlineStr">
        <is>
          <t>Security posture needs attention</t>
        </is>
      </c>
      <c r="C2" s="30" t="n">
        <v>0.84</v>
      </c>
      <c r="D2" s="10" t="inlineStr">
        <is>
          <t>Preview governance controls</t>
        </is>
      </c>
      <c r="E2" s="10" t="inlineStr">
        <is>
          <t>ready-for-governance-approval</t>
        </is>
      </c>
      <c r="F2" s="10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Profile</t>
        </is>
      </c>
      <c r="B1" s="32" t="inlineStr">
        <is>
          <t>Collection</t>
        </is>
      </c>
      <c r="C1" s="32" t="inlineStr">
        <is>
          <t>Lens</t>
        </is>
      </c>
      <c r="D1" s="32" t="inlineStr">
        <is>
          <t>Repo Count</t>
        </is>
      </c>
      <c r="E1" s="32" t="inlineStr">
        <is>
          <t>Average Lens Score</t>
        </is>
      </c>
      <c r="F1" s="32" t="inlineStr">
        <is>
          <t>Top Repo</t>
        </is>
      </c>
      <c r="G1" s="32" t="inlineStr">
        <is>
          <t>Top Profile Score</t>
        </is>
      </c>
    </row>
    <row r="2">
      <c r="A2" s="10" t="inlineStr">
        <is>
          <t>default</t>
        </is>
      </c>
      <c r="B2" s="10" t="inlineStr">
        <is>
          <t>all</t>
        </is>
      </c>
      <c r="C2" s="10" t="inlineStr">
        <is>
          <t>ship_readiness</t>
        </is>
      </c>
      <c r="D2" s="30" t="n">
        <v>3</v>
      </c>
      <c r="E2" s="30" t="n">
        <v>0.647</v>
      </c>
      <c r="F2" s="10" t="inlineStr">
        <is>
          <t>RepoA</t>
        </is>
      </c>
      <c r="G2" s="30" t="n">
        <v>0.88</v>
      </c>
    </row>
    <row r="3">
      <c r="A3" s="10" t="inlineStr">
        <is>
          <t>default</t>
        </is>
      </c>
      <c r="B3" s="10" t="inlineStr">
        <is>
          <t>all</t>
        </is>
      </c>
      <c r="C3" s="10" t="inlineStr">
        <is>
          <t>showcase_value</t>
        </is>
      </c>
      <c r="D3" s="30" t="n">
        <v>3</v>
      </c>
      <c r="E3" s="30" t="n">
        <v>0</v>
      </c>
      <c r="F3" s="10" t="inlineStr">
        <is>
          <t>RepoA</t>
        </is>
      </c>
      <c r="G3" s="30" t="n">
        <v>0.88</v>
      </c>
    </row>
    <row r="4">
      <c r="A4" s="10" t="inlineStr">
        <is>
          <t>default</t>
        </is>
      </c>
      <c r="B4" s="10" t="inlineStr">
        <is>
          <t>showcase</t>
        </is>
      </c>
      <c r="C4" s="10" t="inlineStr">
        <is>
          <t>ship_readiness</t>
        </is>
      </c>
      <c r="D4" s="30" t="n">
        <v>1</v>
      </c>
      <c r="E4" s="30" t="n">
        <v>0.89</v>
      </c>
      <c r="F4" s="10" t="inlineStr">
        <is>
          <t>RepoA</t>
        </is>
      </c>
      <c r="G4" s="30" t="n">
        <v>0.88</v>
      </c>
    </row>
    <row r="5">
      <c r="A5" s="10" t="inlineStr">
        <is>
          <t>default</t>
        </is>
      </c>
      <c r="B5" s="10" t="inlineStr">
        <is>
          <t>showcase</t>
        </is>
      </c>
      <c r="C5" s="10" t="inlineStr">
        <is>
          <t>showcase_value</t>
        </is>
      </c>
      <c r="D5" s="30" t="n">
        <v>1</v>
      </c>
      <c r="E5" s="30" t="n">
        <v>0</v>
      </c>
      <c r="F5" s="10" t="inlineStr">
        <is>
          <t>RepoA</t>
        </is>
      </c>
      <c r="G5" s="30" t="n">
        <v>0.88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Section</t>
        </is>
      </c>
      <c r="B1" s="32" t="inlineStr">
        <is>
          <t>Repo</t>
        </is>
      </c>
      <c r="C1" s="32" t="inlineStr">
        <is>
          <t>Delta</t>
        </is>
      </c>
      <c r="D1" s="32" t="inlineStr">
        <is>
          <t>Old Tier</t>
        </is>
      </c>
      <c r="E1" s="32" t="inlineStr">
        <is>
          <t>New Tier</t>
        </is>
      </c>
      <c r="F1" s="32" t="inlineStr">
        <is>
          <t>Security</t>
        </is>
      </c>
      <c r="G1" s="32" t="inlineStr">
        <is>
          <t>Hotspots</t>
        </is>
      </c>
      <c r="H1" s="32" t="inlineStr">
        <is>
          <t>Collections</t>
        </is>
      </c>
      <c r="I1" s="32" t="inlineStr">
        <is>
          <t>Summary</t>
        </is>
      </c>
    </row>
    <row r="2">
      <c r="A2" s="10" t="inlineStr">
        <is>
          <t>repo-change</t>
        </is>
      </c>
      <c r="B2" s="10" t="inlineStr">
        <is>
          <t>RepoA</t>
        </is>
      </c>
      <c r="C2" s="30" t="n">
        <v>0.09</v>
      </c>
      <c r="D2" s="10" t="inlineStr">
        <is>
          <t>functional</t>
        </is>
      </c>
      <c r="E2" s="10" t="inlineStr">
        <is>
          <t>shipped</t>
        </is>
      </c>
      <c r="F2" s="10" t="inlineStr">
        <is>
          <t>healthy</t>
        </is>
      </c>
      <c r="G2" s="30" t="n">
        <v>1</v>
      </c>
      <c r="H2" s="10" t="inlineStr">
        <is>
          <t>showcase</t>
        </is>
      </c>
      <c r="I2" s="10" t="inlineStr">
        <is>
          <t>General repo movement since the previous run.</t>
        </is>
      </c>
    </row>
    <row r="3">
      <c r="A3" s="10" t="inlineStr">
        <is>
          <t>repo-change</t>
        </is>
      </c>
      <c r="B3" s="10" t="inlineStr">
        <is>
          <t>RepoC</t>
        </is>
      </c>
      <c r="C3" s="30" t="n">
        <v>-0.08</v>
      </c>
      <c r="D3" s="10" t="inlineStr">
        <is>
          <t>functional</t>
        </is>
      </c>
      <c r="E3" s="10" t="inlineStr">
        <is>
          <t>wip</t>
        </is>
      </c>
      <c r="F3" s="10" t="inlineStr">
        <is>
          <t>critical</t>
        </is>
      </c>
      <c r="G3" s="30" t="n">
        <v>1</v>
      </c>
      <c r="H3" s="10" t="inlineStr"/>
      <c r="I3" s="10" t="inlineStr">
        <is>
          <t>General repo movement since the previous run.</t>
        </is>
      </c>
    </row>
    <row r="4">
      <c r="A4" s="10" t="inlineStr">
        <is>
          <t>tier-promotion</t>
        </is>
      </c>
      <c r="B4" s="10" t="inlineStr">
        <is>
          <t>RepoA</t>
        </is>
      </c>
      <c r="C4" s="30" t="n">
        <v>0.09</v>
      </c>
      <c r="D4" s="10" t="inlineStr">
        <is>
          <t>functional</t>
        </is>
      </c>
      <c r="E4" s="10" t="inlineStr">
        <is>
          <t>shipped</t>
        </is>
      </c>
      <c r="F4" s="10" t="inlineStr"/>
      <c r="G4" s="10" t="inlineStr"/>
      <c r="H4" s="10" t="inlineStr"/>
      <c r="I4" s="10" t="inlineStr">
        <is>
          <t>Tier promotion detected in the comparison window.</t>
        </is>
      </c>
    </row>
    <row r="5">
      <c r="A5" s="10" t="inlineStr">
        <is>
          <t>tier-demotion</t>
        </is>
      </c>
      <c r="B5" s="10" t="inlineStr">
        <is>
          <t>RepoC</t>
        </is>
      </c>
      <c r="C5" s="30" t="n">
        <v>-0.08</v>
      </c>
      <c r="D5" s="10" t="inlineStr">
        <is>
          <t>functional</t>
        </is>
      </c>
      <c r="E5" s="10" t="inlineStr">
        <is>
          <t>wip</t>
        </is>
      </c>
      <c r="F5" s="10" t="inlineStr"/>
      <c r="G5" s="10" t="inlineStr"/>
      <c r="H5" s="10" t="inlineStr"/>
      <c r="I5" s="10" t="inlineStr">
        <is>
          <t>Tier demotion detected in the comparison window.</t>
        </is>
      </c>
    </row>
    <row r="6">
      <c r="A6" s="10" t="inlineStr">
        <is>
          <t>material-security-change</t>
        </is>
      </c>
      <c r="B6" s="10" t="inlineStr">
        <is>
          <t>RepoC</t>
        </is>
      </c>
      <c r="C6" s="30" t="n">
        <v>0.84</v>
      </c>
      <c r="D6" s="10" t="inlineStr"/>
      <c r="E6" s="10" t="inlineStr"/>
      <c r="F6" s="10" t="inlineStr"/>
      <c r="G6" s="10" t="inlineStr"/>
      <c r="H6" s="10" t="inlineStr"/>
      <c r="I6" s="10" t="inlineStr">
        <is>
          <t>Security posture needs attention</t>
        </is>
      </c>
    </row>
    <row r="7">
      <c r="A7" s="10" t="inlineStr">
        <is>
          <t>material-reopened-review</t>
        </is>
      </c>
      <c r="B7" s="10" t="inlineStr">
        <is>
          <t>RepoB</t>
        </is>
      </c>
      <c r="C7" s="30" t="n">
        <v>0.51</v>
      </c>
      <c r="D7" s="10" t="inlineStr"/>
      <c r="E7" s="10" t="inlineStr"/>
      <c r="F7" s="10" t="inlineStr"/>
      <c r="G7" s="10" t="inlineStr"/>
      <c r="H7" s="10" t="inlineStr"/>
      <c r="I7" s="10" t="inlineStr">
        <is>
          <t>Release checklist reopened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Metric</t>
        </is>
      </c>
      <c r="B1" s="32" t="inlineStr">
        <is>
          <t>Value</t>
        </is>
      </c>
      <c r="C1" s="32" t="inlineStr">
        <is>
          <t>Summary</t>
        </is>
      </c>
    </row>
    <row r="2">
      <c r="A2" s="10" t="inlineStr">
        <is>
          <t>Summary</t>
        </is>
      </c>
      <c r="B2" s="10" t="inlineStr">
        <is>
          <t>Average score moved +0.020; 0 meaningful improvements, 0 regressions, 1 promotions, and 1 demotions were recorded.</t>
        </is>
      </c>
      <c r="C2" s="10" t="inlineStr"/>
    </row>
    <row r="3">
      <c r="A3" s="10" t="inlineStr">
        <is>
          <t>Score Improvements</t>
        </is>
      </c>
      <c r="B3" s="30" t="n">
        <v>0</v>
      </c>
      <c r="C3" s="10" t="inlineStr">
        <is>
          <t>Repos that improved since the last run.</t>
        </is>
      </c>
    </row>
    <row r="4">
      <c r="A4" s="10" t="inlineStr">
        <is>
          <t>Score Regressions</t>
        </is>
      </c>
      <c r="B4" s="30" t="n">
        <v>0</v>
      </c>
      <c r="C4" s="10" t="inlineStr">
        <is>
          <t>Repos that regressed since the last run.</t>
        </is>
      </c>
    </row>
    <row r="5">
      <c r="A5" s="10" t="inlineStr">
        <is>
          <t>Tier Promotions</t>
        </is>
      </c>
      <c r="B5" s="30" t="n">
        <v>1</v>
      </c>
      <c r="C5" s="10" t="inlineStr">
        <is>
          <t>Repos that moved up a tier.</t>
        </is>
      </c>
    </row>
    <row r="6">
      <c r="A6" s="10" t="inlineStr">
        <is>
          <t>Tier Demotions</t>
        </is>
      </c>
      <c r="B6" s="30" t="n">
        <v>1</v>
      </c>
      <c r="C6" s="10" t="inlineStr">
        <is>
          <t>Repos that moved down a tier.</t>
        </is>
      </c>
    </row>
    <row r="7">
      <c r="A7" s="10" t="inlineStr">
        <is>
          <t>New Repos</t>
        </is>
      </c>
      <c r="B7" s="30" t="n">
        <v>0</v>
      </c>
      <c r="C7" s="10" t="inlineStr">
        <is>
          <t>Repos that are new in this run.</t>
        </is>
      </c>
    </row>
    <row r="8">
      <c r="A8" s="10" t="inlineStr">
        <is>
          <t>Removed Repos</t>
        </is>
      </c>
      <c r="B8" s="30" t="n">
        <v>0</v>
      </c>
      <c r="C8" s="10" t="inlineStr">
        <is>
          <t>Repos missing compared with the prior run.</t>
        </is>
      </c>
    </row>
    <row r="9">
      <c r="A9" s="10" t="inlineStr">
        <is>
          <t>Security Changes</t>
        </is>
      </c>
      <c r="B9" s="30" t="n">
        <v>1</v>
      </c>
      <c r="C9" s="10" t="inlineStr">
        <is>
          <t>Repos with security posture movement.</t>
        </is>
      </c>
    </row>
    <row r="10">
      <c r="A10" s="10" t="inlineStr">
        <is>
          <t>Governance Changes</t>
        </is>
      </c>
      <c r="B10" s="30" t="n">
        <v>1</v>
      </c>
      <c r="C10" s="10" t="inlineStr">
        <is>
          <t>Repos with collection or governance drift.</t>
        </is>
      </c>
    </row>
    <row r="11">
      <c r="A11" s="10" t="inlineStr">
        <is>
          <t>Notable Repo Changes</t>
        </is>
      </c>
      <c r="B11" s="30" t="n">
        <v>2</v>
      </c>
      <c r="C11" s="10" t="inlineStr">
        <is>
          <t>Repos with notable diff rows.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Key</t>
        </is>
      </c>
      <c r="B1" s="32" t="inlineStr">
        <is>
          <t>Title</t>
        </is>
      </c>
      <c r="C1" s="32" t="inlineStr">
        <is>
          <t>Lens</t>
        </is>
      </c>
      <c r="D1" s="32" t="inlineStr">
        <is>
          <t>Repo Count</t>
        </is>
      </c>
      <c r="E1" s="32" t="inlineStr">
        <is>
          <t>Average Expected Lens Delta</t>
        </is>
      </c>
      <c r="F1" s="32" t="inlineStr">
        <is>
          <t>Projected Tier Promotions</t>
        </is>
      </c>
    </row>
    <row r="2">
      <c r="A2" s="10" t="inlineStr">
        <is>
          <t>testing</t>
        </is>
      </c>
      <c r="B2" s="10" t="inlineStr">
        <is>
          <t>Strengthen tests</t>
        </is>
      </c>
      <c r="C2" s="10" t="inlineStr">
        <is>
          <t>ship_readiness</t>
        </is>
      </c>
      <c r="D2" s="30" t="n">
        <v>2</v>
      </c>
      <c r="E2" s="30" t="n">
        <v>0.09</v>
      </c>
      <c r="F2" s="30" t="n">
        <v>1</v>
      </c>
    </row>
    <row r="3">
      <c r="A3" s="10" t="inlineStr">
        <is>
          <t>portfolio_projection</t>
        </is>
      </c>
      <c r="B3" s="10" t="inlineStr">
        <is>
          <t>Portfolio projection</t>
        </is>
      </c>
      <c r="C3" s="10" t="inlineStr">
        <is>
          <t>portfolio_fit</t>
        </is>
      </c>
      <c r="D3" s="30" t="n">
        <v>0</v>
      </c>
      <c r="E3" s="30" t="n">
        <v>0.05</v>
      </c>
      <c r="F3" s="3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Full Name</t>
        </is>
      </c>
      <c r="C1" s="32" t="inlineStr">
        <is>
          <t>Program</t>
        </is>
      </c>
      <c r="D1" s="32" t="inlineStr">
        <is>
          <t>Program Label</t>
        </is>
      </c>
      <c r="E1" s="32" t="inlineStr">
        <is>
          <t>Score</t>
        </is>
      </c>
      <c r="F1" s="32" t="inlineStr">
        <is>
          <t>Maturity Level</t>
        </is>
      </c>
      <c r="G1" s="32" t="inlineStr">
        <is>
          <t>Target Maturity</t>
        </is>
      </c>
      <c r="H1" s="32" t="inlineStr">
        <is>
          <t>Status</t>
        </is>
      </c>
      <c r="I1" s="32" t="inlineStr">
        <is>
          <t>Passed Rules</t>
        </is>
      </c>
      <c r="J1" s="32" t="inlineStr">
        <is>
          <t>Applicable Rules</t>
        </is>
      </c>
      <c r="K1" s="32" t="inlineStr">
        <is>
          <t>Failed Rule Keys</t>
        </is>
      </c>
      <c r="L1" s="32" t="inlineStr">
        <is>
          <t>Top Gaps</t>
        </is>
      </c>
      <c r="M1" s="32" t="inlineStr">
        <is>
          <t>Summary</t>
        </is>
      </c>
    </row>
    <row r="2">
      <c r="A2" s="10" t="inlineStr">
        <is>
          <t>RepoA</t>
        </is>
      </c>
      <c r="B2" s="10" t="inlineStr">
        <is>
          <t>sample-user/RepoA</t>
        </is>
      </c>
      <c r="C2" s="10" t="inlineStr"/>
      <c r="D2" s="10" t="inlineStr"/>
      <c r="E2" s="30" t="n">
        <v>0</v>
      </c>
      <c r="F2" s="10" t="inlineStr"/>
      <c r="G2" s="10" t="inlineStr"/>
      <c r="H2" s="10" t="inlineStr"/>
      <c r="I2" s="30" t="n">
        <v>0</v>
      </c>
      <c r="J2" s="30" t="n">
        <v>0</v>
      </c>
      <c r="K2" s="10" t="inlineStr"/>
      <c r="L2" s="10" t="inlineStr"/>
      <c r="M2" s="10" t="inlineStr"/>
    </row>
    <row r="3">
      <c r="A3" s="10" t="inlineStr">
        <is>
          <t>RepoB</t>
        </is>
      </c>
      <c r="B3" s="10" t="inlineStr">
        <is>
          <t>sample-user/RepoB</t>
        </is>
      </c>
      <c r="C3" s="10" t="inlineStr"/>
      <c r="D3" s="10" t="inlineStr"/>
      <c r="E3" s="30" t="n">
        <v>0</v>
      </c>
      <c r="F3" s="10" t="inlineStr"/>
      <c r="G3" s="10" t="inlineStr"/>
      <c r="H3" s="10" t="inlineStr"/>
      <c r="I3" s="30" t="n">
        <v>0</v>
      </c>
      <c r="J3" s="30" t="n">
        <v>0</v>
      </c>
      <c r="K3" s="10" t="inlineStr"/>
      <c r="L3" s="10" t="inlineStr"/>
      <c r="M3" s="10" t="inlineStr"/>
    </row>
    <row r="4">
      <c r="A4" s="10" t="inlineStr">
        <is>
          <t>RepoC</t>
        </is>
      </c>
      <c r="B4" s="10" t="inlineStr">
        <is>
          <t>sample-user/RepoC</t>
        </is>
      </c>
      <c r="C4" s="10" t="inlineStr"/>
      <c r="D4" s="10" t="inlineStr"/>
      <c r="E4" s="30" t="n">
        <v>0</v>
      </c>
      <c r="F4" s="10" t="inlineStr"/>
      <c r="G4" s="10" t="inlineStr"/>
      <c r="H4" s="10" t="inlineStr"/>
      <c r="I4" s="30" t="n">
        <v>0</v>
      </c>
      <c r="J4" s="30" t="n">
        <v>0</v>
      </c>
      <c r="K4" s="10" t="inlineStr"/>
      <c r="L4" s="10" t="inlineStr"/>
      <c r="M4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Label</t>
        </is>
      </c>
      <c r="C1" s="32" t="inlineStr">
        <is>
          <t>Score</t>
        </is>
      </c>
      <c r="D1" s="32" t="inlineStr">
        <is>
          <t>Secrets</t>
        </is>
      </c>
      <c r="E1" s="32" t="inlineStr">
        <is>
          <t>Dangerous Files</t>
        </is>
      </c>
      <c r="F1" s="32" t="inlineStr">
        <is>
          <t>SECURITY.md</t>
        </is>
      </c>
      <c r="G1" s="32" t="inlineStr">
        <is>
          <t>Dependabot</t>
        </is>
      </c>
      <c r="H1" s="32" t="inlineStr">
        <is>
          <t>Evidence</t>
        </is>
      </c>
    </row>
    <row r="2">
      <c r="A2" s="10" t="inlineStr">
        <is>
          <t>RepoA</t>
        </is>
      </c>
      <c r="B2" s="10" t="inlineStr">
        <is>
          <t>healthy</t>
        </is>
      </c>
      <c r="C2" s="30" t="n">
        <v>0.82</v>
      </c>
      <c r="D2" s="30" t="n">
        <v>0</v>
      </c>
      <c r="E2" s="30" t="n">
        <v>0</v>
      </c>
      <c r="F2" s="10" t="inlineStr">
        <is>
          <t>No</t>
        </is>
      </c>
      <c r="G2" s="10" t="inlineStr">
        <is>
          <t>No</t>
        </is>
      </c>
      <c r="H2" s="10" t="inlineStr"/>
    </row>
    <row r="3">
      <c r="A3" s="10" t="inlineStr">
        <is>
          <t>RepoB</t>
        </is>
      </c>
      <c r="B3" s="10" t="inlineStr">
        <is>
          <t>watch</t>
        </is>
      </c>
      <c r="C3" s="30" t="n">
        <v>0.66</v>
      </c>
      <c r="D3" s="30" t="n">
        <v>0</v>
      </c>
      <c r="E3" s="30" t="n">
        <v>0</v>
      </c>
      <c r="F3" s="10" t="inlineStr">
        <is>
          <t>No</t>
        </is>
      </c>
      <c r="G3" s="10" t="inlineStr">
        <is>
          <t>No</t>
        </is>
      </c>
      <c r="H3" s="10" t="inlineStr"/>
    </row>
    <row r="4">
      <c r="A4" s="10" t="inlineStr">
        <is>
          <t>RepoC</t>
        </is>
      </c>
      <c r="B4" s="10" t="inlineStr">
        <is>
          <t>critical</t>
        </is>
      </c>
      <c r="C4" s="30" t="n">
        <v>0.28</v>
      </c>
      <c r="D4" s="30" t="n">
        <v>0</v>
      </c>
      <c r="E4" s="30" t="n">
        <v>0</v>
      </c>
      <c r="F4" s="10" t="inlineStr">
        <is>
          <t>No</t>
        </is>
      </c>
      <c r="G4" s="10" t="inlineStr">
        <is>
          <t>No</t>
        </is>
      </c>
      <c r="H4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Alert Type</t>
        </is>
      </c>
      <c r="C1" s="32" t="inlineStr">
        <is>
          <t>Open Count</t>
        </is>
      </c>
      <c r="D1" s="32" t="inlineStr">
        <is>
          <t>Status</t>
        </is>
      </c>
    </row>
    <row r="2">
      <c r="A2" s="10" t="inlineStr">
        <is>
          <t>RepoA</t>
        </is>
      </c>
      <c r="B2" s="10" t="inlineStr">
        <is>
          <t>code_scanning</t>
        </is>
      </c>
      <c r="C2" s="30" t="n">
        <v>0</v>
      </c>
      <c r="D2" s="10" t="inlineStr">
        <is>
          <t>unavailable</t>
        </is>
      </c>
    </row>
    <row r="3">
      <c r="A3" s="10" t="inlineStr">
        <is>
          <t>RepoA</t>
        </is>
      </c>
      <c r="B3" s="10" t="inlineStr">
        <is>
          <t>secret_scanning</t>
        </is>
      </c>
      <c r="C3" s="30" t="n">
        <v>0</v>
      </c>
      <c r="D3" s="10" t="inlineStr">
        <is>
          <t>unavailable</t>
        </is>
      </c>
    </row>
    <row r="4">
      <c r="A4" s="10" t="inlineStr">
        <is>
          <t>RepoB</t>
        </is>
      </c>
      <c r="B4" s="10" t="inlineStr">
        <is>
          <t>code_scanning</t>
        </is>
      </c>
      <c r="C4" s="30" t="n">
        <v>0</v>
      </c>
      <c r="D4" s="10" t="inlineStr">
        <is>
          <t>unavailable</t>
        </is>
      </c>
    </row>
    <row r="5">
      <c r="A5" s="10" t="inlineStr">
        <is>
          <t>RepoB</t>
        </is>
      </c>
      <c r="B5" s="10" t="inlineStr">
        <is>
          <t>secret_scanning</t>
        </is>
      </c>
      <c r="C5" s="30" t="n">
        <v>0</v>
      </c>
      <c r="D5" s="10" t="inlineStr">
        <is>
          <t>unavailable</t>
        </is>
      </c>
    </row>
    <row r="6">
      <c r="A6" s="10" t="inlineStr">
        <is>
          <t>RepoC</t>
        </is>
      </c>
      <c r="B6" s="10" t="inlineStr">
        <is>
          <t>code_scanning</t>
        </is>
      </c>
      <c r="C6" s="30" t="n">
        <v>0</v>
      </c>
      <c r="D6" s="10" t="inlineStr">
        <is>
          <t>unavailable</t>
        </is>
      </c>
    </row>
    <row r="7">
      <c r="A7" s="10" t="inlineStr">
        <is>
          <t>RepoC</t>
        </is>
      </c>
      <c r="B7" s="10" t="inlineStr">
        <is>
          <t>secret_scanning</t>
        </is>
      </c>
      <c r="C7" s="30" t="n">
        <v>0</v>
      </c>
      <c r="D7" s="10" t="inlineStr">
        <is>
          <t>unavailable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Control</t>
        </is>
      </c>
      <c r="C1" s="32" t="inlineStr">
        <is>
          <t>Status</t>
        </is>
      </c>
      <c r="D1" s="32" t="inlineStr">
        <is>
          <t>Source</t>
        </is>
      </c>
      <c r="E1" s="32" t="inlineStr">
        <is>
          <t>Details</t>
        </is>
      </c>
    </row>
    <row r="2">
      <c r="A2" s="10" t="inlineStr">
        <is>
          <t>RepoA</t>
        </is>
      </c>
      <c r="B2" s="10" t="inlineStr">
        <is>
          <t>security_md</t>
        </is>
      </c>
      <c r="C2" s="10" t="inlineStr">
        <is>
          <t>missing</t>
        </is>
      </c>
      <c r="D2" s="10" t="inlineStr">
        <is>
          <t>local</t>
        </is>
      </c>
      <c r="E2" s="10" t="inlineStr"/>
    </row>
    <row r="3">
      <c r="A3" s="10" t="inlineStr">
        <is>
          <t>RepoA</t>
        </is>
      </c>
      <c r="B3" s="10" t="inlineStr">
        <is>
          <t>dependabot_config</t>
        </is>
      </c>
      <c r="C3" s="10" t="inlineStr">
        <is>
          <t>missing</t>
        </is>
      </c>
      <c r="D3" s="10" t="inlineStr">
        <is>
          <t>local</t>
        </is>
      </c>
      <c r="E3" s="10" t="inlineStr"/>
    </row>
    <row r="4">
      <c r="A4" s="10" t="inlineStr">
        <is>
          <t>RepoA</t>
        </is>
      </c>
      <c r="B4" s="10" t="inlineStr">
        <is>
          <t>dependency_graph</t>
        </is>
      </c>
      <c r="C4" s="10" t="inlineStr">
        <is>
          <t>unavailable</t>
        </is>
      </c>
      <c r="D4" s="10" t="inlineStr">
        <is>
          <t>github</t>
        </is>
      </c>
      <c r="E4" s="10" t="inlineStr">
        <is>
          <t>None</t>
        </is>
      </c>
    </row>
    <row r="5">
      <c r="A5" s="10" t="inlineStr">
        <is>
          <t>RepoA</t>
        </is>
      </c>
      <c r="B5" s="10" t="inlineStr">
        <is>
          <t>sbom_export</t>
        </is>
      </c>
      <c r="C5" s="10" t="inlineStr">
        <is>
          <t>unavailable</t>
        </is>
      </c>
      <c r="D5" s="10" t="inlineStr">
        <is>
          <t>github</t>
        </is>
      </c>
      <c r="E5" s="10" t="inlineStr">
        <is>
          <t>None</t>
        </is>
      </c>
    </row>
    <row r="6">
      <c r="A6" s="10" t="inlineStr">
        <is>
          <t>RepoA</t>
        </is>
      </c>
      <c r="B6" s="10" t="inlineStr">
        <is>
          <t>code_scanning</t>
        </is>
      </c>
      <c r="C6" s="10" t="inlineStr">
        <is>
          <t>unavailable</t>
        </is>
      </c>
      <c r="D6" s="10" t="inlineStr">
        <is>
          <t>github</t>
        </is>
      </c>
      <c r="E6" s="10" t="inlineStr">
        <is>
          <t>None</t>
        </is>
      </c>
    </row>
    <row r="7">
      <c r="A7" s="10" t="inlineStr">
        <is>
          <t>RepoA</t>
        </is>
      </c>
      <c r="B7" s="10" t="inlineStr">
        <is>
          <t>secret_scanning</t>
        </is>
      </c>
      <c r="C7" s="10" t="inlineStr">
        <is>
          <t>unavailable</t>
        </is>
      </c>
      <c r="D7" s="10" t="inlineStr">
        <is>
          <t>github</t>
        </is>
      </c>
      <c r="E7" s="10" t="inlineStr">
        <is>
          <t>None</t>
        </is>
      </c>
    </row>
    <row r="8">
      <c r="A8" s="10" t="inlineStr">
        <is>
          <t>RepoB</t>
        </is>
      </c>
      <c r="B8" s="10" t="inlineStr">
        <is>
          <t>security_md</t>
        </is>
      </c>
      <c r="C8" s="10" t="inlineStr">
        <is>
          <t>missing</t>
        </is>
      </c>
      <c r="D8" s="10" t="inlineStr">
        <is>
          <t>local</t>
        </is>
      </c>
      <c r="E8" s="10" t="inlineStr"/>
    </row>
    <row r="9">
      <c r="A9" s="10" t="inlineStr">
        <is>
          <t>RepoB</t>
        </is>
      </c>
      <c r="B9" s="10" t="inlineStr">
        <is>
          <t>dependabot_config</t>
        </is>
      </c>
      <c r="C9" s="10" t="inlineStr">
        <is>
          <t>missing</t>
        </is>
      </c>
      <c r="D9" s="10" t="inlineStr">
        <is>
          <t>local</t>
        </is>
      </c>
      <c r="E9" s="10" t="inlineStr"/>
    </row>
    <row r="10">
      <c r="A10" s="10" t="inlineStr">
        <is>
          <t>RepoB</t>
        </is>
      </c>
      <c r="B10" s="10" t="inlineStr">
        <is>
          <t>dependency_graph</t>
        </is>
      </c>
      <c r="C10" s="10" t="inlineStr">
        <is>
          <t>unavailable</t>
        </is>
      </c>
      <c r="D10" s="10" t="inlineStr">
        <is>
          <t>github</t>
        </is>
      </c>
      <c r="E10" s="10" t="inlineStr">
        <is>
          <t>None</t>
        </is>
      </c>
    </row>
    <row r="11">
      <c r="A11" s="10" t="inlineStr">
        <is>
          <t>RepoB</t>
        </is>
      </c>
      <c r="B11" s="10" t="inlineStr">
        <is>
          <t>sbom_export</t>
        </is>
      </c>
      <c r="C11" s="10" t="inlineStr">
        <is>
          <t>unavailable</t>
        </is>
      </c>
      <c r="D11" s="10" t="inlineStr">
        <is>
          <t>github</t>
        </is>
      </c>
      <c r="E11" s="10" t="inlineStr">
        <is>
          <t>None</t>
        </is>
      </c>
    </row>
    <row r="12">
      <c r="A12" s="10" t="inlineStr">
        <is>
          <t>RepoB</t>
        </is>
      </c>
      <c r="B12" s="10" t="inlineStr">
        <is>
          <t>code_scanning</t>
        </is>
      </c>
      <c r="C12" s="10" t="inlineStr">
        <is>
          <t>unavailable</t>
        </is>
      </c>
      <c r="D12" s="10" t="inlineStr">
        <is>
          <t>github</t>
        </is>
      </c>
      <c r="E12" s="10" t="inlineStr">
        <is>
          <t>None</t>
        </is>
      </c>
    </row>
    <row r="13">
      <c r="A13" s="10" t="inlineStr">
        <is>
          <t>RepoB</t>
        </is>
      </c>
      <c r="B13" s="10" t="inlineStr">
        <is>
          <t>secret_scanning</t>
        </is>
      </c>
      <c r="C13" s="10" t="inlineStr">
        <is>
          <t>unavailable</t>
        </is>
      </c>
      <c r="D13" s="10" t="inlineStr">
        <is>
          <t>github</t>
        </is>
      </c>
      <c r="E13" s="10" t="inlineStr">
        <is>
          <t>None</t>
        </is>
      </c>
    </row>
    <row r="14">
      <c r="A14" s="10" t="inlineStr">
        <is>
          <t>RepoC</t>
        </is>
      </c>
      <c r="B14" s="10" t="inlineStr">
        <is>
          <t>security_md</t>
        </is>
      </c>
      <c r="C14" s="10" t="inlineStr">
        <is>
          <t>missing</t>
        </is>
      </c>
      <c r="D14" s="10" t="inlineStr">
        <is>
          <t>local</t>
        </is>
      </c>
      <c r="E14" s="10" t="inlineStr"/>
    </row>
    <row r="15">
      <c r="A15" s="10" t="inlineStr">
        <is>
          <t>RepoC</t>
        </is>
      </c>
      <c r="B15" s="10" t="inlineStr">
        <is>
          <t>dependabot_config</t>
        </is>
      </c>
      <c r="C15" s="10" t="inlineStr">
        <is>
          <t>missing</t>
        </is>
      </c>
      <c r="D15" s="10" t="inlineStr">
        <is>
          <t>local</t>
        </is>
      </c>
      <c r="E15" s="10" t="inlineStr"/>
    </row>
    <row r="16">
      <c r="A16" s="10" t="inlineStr">
        <is>
          <t>RepoC</t>
        </is>
      </c>
      <c r="B16" s="10" t="inlineStr">
        <is>
          <t>dependency_graph</t>
        </is>
      </c>
      <c r="C16" s="10" t="inlineStr">
        <is>
          <t>unavailable</t>
        </is>
      </c>
      <c r="D16" s="10" t="inlineStr">
        <is>
          <t>github</t>
        </is>
      </c>
      <c r="E16" s="10" t="inlineStr">
        <is>
          <t>None</t>
        </is>
      </c>
    </row>
    <row r="17">
      <c r="A17" s="10" t="inlineStr">
        <is>
          <t>RepoC</t>
        </is>
      </c>
      <c r="B17" s="10" t="inlineStr">
        <is>
          <t>sbom_export</t>
        </is>
      </c>
      <c r="C17" s="10" t="inlineStr">
        <is>
          <t>unavailable</t>
        </is>
      </c>
      <c r="D17" s="10" t="inlineStr">
        <is>
          <t>github</t>
        </is>
      </c>
      <c r="E17" s="10" t="inlineStr">
        <is>
          <t>None</t>
        </is>
      </c>
    </row>
    <row r="18">
      <c r="A18" s="10" t="inlineStr">
        <is>
          <t>RepoC</t>
        </is>
      </c>
      <c r="B18" s="10" t="inlineStr">
        <is>
          <t>code_scanning</t>
        </is>
      </c>
      <c r="C18" s="10" t="inlineStr">
        <is>
          <t>unavailable</t>
        </is>
      </c>
      <c r="D18" s="10" t="inlineStr">
        <is>
          <t>github</t>
        </is>
      </c>
      <c r="E18" s="10" t="inlineStr">
        <is>
          <t>None</t>
        </is>
      </c>
    </row>
    <row r="19">
      <c r="A19" s="10" t="inlineStr">
        <is>
          <t>RepoC</t>
        </is>
      </c>
      <c r="B19" s="10" t="inlineStr">
        <is>
          <t>secret_scanning</t>
        </is>
      </c>
      <c r="C19" s="10" t="inlineStr">
        <is>
          <t>unavailable</t>
        </is>
      </c>
      <c r="D19" s="10" t="inlineStr">
        <is>
          <t>github</t>
        </is>
      </c>
      <c r="E19" s="10" t="inlineStr">
        <is>
          <t>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Provider</t>
        </is>
      </c>
      <c r="C1" s="32" t="inlineStr">
        <is>
          <t>Available</t>
        </is>
      </c>
      <c r="D1" s="32" t="inlineStr">
        <is>
          <t>Score</t>
        </is>
      </c>
      <c r="E1" s="32" t="inlineStr">
        <is>
          <t>Reason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Run 1</t>
        </is>
      </c>
      <c r="C1" s="32" t="inlineStr">
        <is>
          <t>Run 2</t>
        </is>
      </c>
      <c r="D1" s="32" t="inlineStr">
        <is>
          <t>Run 3</t>
        </is>
      </c>
      <c r="E1" s="32" t="inlineStr">
        <is>
          <t>Run 4</t>
        </is>
      </c>
      <c r="F1" s="32" t="inlineStr">
        <is>
          <t>Run 5</t>
        </is>
      </c>
      <c r="G1" s="32" t="inlineStr">
        <is>
          <t>Run 6</t>
        </is>
      </c>
      <c r="H1" s="32" t="inlineStr">
        <is>
          <t>Run 7</t>
        </is>
      </c>
      <c r="I1" s="32" t="inlineStr">
        <is>
          <t>Run 8</t>
        </is>
      </c>
      <c r="J1" s="32" t="inlineStr">
        <is>
          <t>Run 9</t>
        </is>
      </c>
      <c r="K1" s="32" t="inlineStr">
        <is>
          <t>Run 10</t>
        </is>
      </c>
      <c r="L1" s="32" t="inlineStr">
        <is>
          <t>Run 11</t>
        </is>
      </c>
      <c r="M1" s="32" t="inlineStr">
        <is>
          <t>Run 12</t>
        </is>
      </c>
    </row>
    <row r="2">
      <c r="A2" s="10" t="inlineStr">
        <is>
          <t>RepoA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30" t="n">
        <v>0.88</v>
      </c>
    </row>
    <row r="3">
      <c r="A3" s="10" t="inlineStr">
        <is>
          <t>RepoB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30" t="n">
        <v>0.62</v>
      </c>
    </row>
    <row r="4">
      <c r="A4" s="10" t="inlineStr">
        <is>
          <t>RepoC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30" t="n">
        <v>0.44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Repo</t>
        </is>
      </c>
      <c r="B1" s="32" t="inlineStr">
        <is>
          <t>Target</t>
        </is>
      </c>
      <c r="C1" s="32" t="inlineStr">
        <is>
          <t>Status</t>
        </is>
      </c>
      <c r="D1" s="32" t="inlineStr">
        <is>
          <t>URL</t>
        </is>
      </c>
      <c r="E1" s="32" t="inlineStr">
        <is>
          <t>Before</t>
        </is>
      </c>
      <c r="F1" s="32" t="inlineStr">
        <is>
          <t>After</t>
        </is>
      </c>
    </row>
    <row r="2">
      <c r="A2" s="10" t="inlineStr">
        <is>
          <t>sample-user/RepoC</t>
        </is>
      </c>
      <c r="B2" s="10" t="inlineStr">
        <is>
          <t>github-issue</t>
        </is>
      </c>
      <c r="C2" s="10" t="inlineStr">
        <is>
          <t>created</t>
        </is>
      </c>
      <c r="D2" s="10" t="inlineStr">
        <is>
          <t>https://github.com/sample-user/RepoC/issues/1</t>
        </is>
      </c>
      <c r="E2" s="10" t="inlineStr">
        <is>
          <t>{}</t>
        </is>
      </c>
      <c r="F2" s="10" t="inlineStr">
        <is>
          <t>{}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tabColor rgb="000277BD"/>
    <outlinePr summaryBelow="1" summaryRight="1"/>
    <pageSetUpPr/>
  </sheetPr>
  <dimension ref="A1:C2"/>
  <sheetViews>
    <sheetView showGridLines="1" zoomScale="105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7" customWidth="1" min="3" max="3"/>
  </cols>
  <sheetData>
    <row r="1">
      <c r="A1" s="6" t="inlineStr">
        <is>
          <t>Shared Dependencies (0 across 2+ repos)</t>
        </is>
      </c>
    </row>
    <row r="2" ht="30" customHeight="1">
      <c r="A2" s="32" t="inlineStr">
        <is>
          <t>Dependency</t>
        </is>
      </c>
      <c r="B2" s="32" t="inlineStr">
        <is>
          <t>Repo Count</t>
        </is>
      </c>
      <c r="C2" s="32" t="inlineStr">
        <is>
          <t>Repos Using It</t>
        </is>
      </c>
    </row>
  </sheetData>
  <mergeCells count="1">
    <mergeCell ref="A1:C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6D28D9"/>
    <outlinePr summaryBelow="1" summaryRight="1"/>
    <pageSetUpPr/>
  </sheetPr>
  <dimension ref="A1:C15"/>
  <sheetViews>
    <sheetView showGridLines="0" zoomScale="110" zoomScaleNormal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1" t="inlineStr">
        <is>
          <t>Governance Audit</t>
        </is>
      </c>
    </row>
    <row r="2">
      <c r="A2" s="7" t="inlineStr">
        <is>
          <t>Evidence summary for approval age, fingerprint drift, rollback coverage, and applied results.</t>
        </is>
      </c>
    </row>
    <row r="3"/>
    <row r="4" ht="30" customHeight="1">
      <c r="A4" s="32" t="inlineStr">
        <is>
          <t>Control</t>
        </is>
      </c>
      <c r="B4" s="32" t="inlineStr">
        <is>
          <t>Value</t>
        </is>
      </c>
    </row>
    <row r="5">
      <c r="A5" s="10" t="inlineStr">
        <is>
          <t>Status</t>
        </is>
      </c>
      <c r="B5" s="30" t="inlineStr">
        <is>
          <t>Drifted</t>
        </is>
      </c>
    </row>
    <row r="6">
      <c r="A6" s="28" t="inlineStr">
        <is>
          <t>Headline</t>
        </is>
      </c>
      <c r="B6" s="29" t="inlineStr">
        <is>
          <t>Governed security drift needs review.</t>
        </is>
      </c>
    </row>
    <row r="7">
      <c r="A7" s="10" t="inlineStr">
        <is>
          <t>Approval Status</t>
        </is>
      </c>
      <c r="B7" s="30" t="inlineStr">
        <is>
          <t>Preview only</t>
        </is>
      </c>
    </row>
    <row r="8">
      <c r="A8" s="28" t="inlineStr">
        <is>
          <t>Needs Re-Approval</t>
        </is>
      </c>
      <c r="B8" s="29" t="inlineStr">
        <is>
          <t>no</t>
        </is>
      </c>
    </row>
    <row r="9">
      <c r="A9" s="10" t="inlineStr">
        <is>
          <t>Approval Age (days)</t>
        </is>
      </c>
      <c r="B9" s="30" t="inlineStr">
        <is>
          <t>—</t>
        </is>
      </c>
    </row>
    <row r="10">
      <c r="A10" s="28" t="inlineStr">
        <is>
          <t>Fingerprint Mismatch</t>
        </is>
      </c>
      <c r="B10" s="29" t="inlineStr">
        <is>
          <t>no</t>
        </is>
      </c>
    </row>
    <row r="11">
      <c r="A11" s="10" t="inlineStr">
        <is>
          <t>Applyable Count</t>
        </is>
      </c>
      <c r="B11" s="30" t="n">
        <v>1</v>
      </c>
    </row>
    <row r="12">
      <c r="A12" s="28" t="inlineStr">
        <is>
          <t>Drift Count</t>
        </is>
      </c>
      <c r="B12" s="29" t="n">
        <v>1</v>
      </c>
    </row>
    <row r="13">
      <c r="A13" s="10" t="inlineStr">
        <is>
          <t>Applied Count</t>
        </is>
      </c>
      <c r="B13" s="30" t="n">
        <v>0</v>
      </c>
    </row>
    <row r="14">
      <c r="A14" s="28" t="inlineStr">
        <is>
          <t>Rollback Available</t>
        </is>
      </c>
      <c r="B14" s="29" t="n">
        <v>1</v>
      </c>
    </row>
    <row r="15">
      <c r="A15" s="10" t="inlineStr">
        <is>
          <t>Selected View</t>
        </is>
      </c>
      <c r="B15" s="30" t="inlineStr">
        <is>
          <t>all</t>
        </is>
      </c>
    </row>
  </sheetData>
  <autoFilter ref="A4:B15"/>
  <mergeCells count="2">
    <mergeCell ref="A1:C1"/>
    <mergeCell ref="A2:C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DC2626"/>
    <outlinePr summaryBelow="1" summaryRight="1"/>
    <pageSetUpPr/>
  </sheetPr>
  <dimension ref="A1:G1"/>
  <sheetViews>
    <sheetView showGridLines="1" zoomScale="105" zoomScaleNormal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8" customWidth="1" min="4" max="4"/>
    <col width="10" customWidth="1" min="5" max="5"/>
    <col width="21" customWidth="1" min="6" max="6"/>
    <col width="8" customWidth="1" min="7" max="7"/>
  </cols>
  <sheetData>
    <row r="1" ht="30" customHeight="1">
      <c r="A1" s="32" t="inlineStr">
        <is>
          <t>Repo</t>
        </is>
      </c>
      <c r="B1" s="32" t="inlineStr">
        <is>
          <t>Category</t>
        </is>
      </c>
      <c r="C1" s="32" t="inlineStr">
        <is>
          <t>Severity</t>
        </is>
      </c>
      <c r="D1" s="32" t="inlineStr">
        <is>
          <t>Title</t>
        </is>
      </c>
      <c r="E1" s="32" t="inlineStr">
        <is>
          <t>Summary</t>
        </is>
      </c>
      <c r="F1" s="32" t="inlineStr">
        <is>
          <t>Recommended Action</t>
        </is>
      </c>
      <c r="G1" s="32" t="inlineStr">
        <is>
          <t>Tier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0369A1"/>
    <outlinePr summaryBelow="1" summaryRight="1"/>
    <pageSetUpPr/>
  </sheetPr>
  <dimension ref="A1:G3"/>
  <sheetViews>
    <sheetView showGridLines="0" zoomScale="115" zoomScaleNormal="10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2" customWidth="1" min="4" max="4"/>
    <col width="12" customWidth="1" min="5" max="5"/>
    <col width="10" customWidth="1" min="6" max="6"/>
    <col width="60" customWidth="1" min="7" max="7"/>
  </cols>
  <sheetData>
    <row r="1">
      <c r="A1" s="1" t="inlineStr">
        <is>
          <t>Initiative Tracker</t>
        </is>
      </c>
    </row>
    <row r="2">
      <c r="A2" s="7" t="inlineStr">
        <is>
          <t>Tier-upgrade initiatives grouped by status: overdue · at-risk · on-track · met.</t>
        </is>
      </c>
    </row>
    <row r="3">
      <c r="A3" s="7" t="inlineStr">
        <is>
          <t>No initiatives yet. Use `audit triage --set-initiative REPO --target-tier N --deadline YYYY-MM-DD`.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 ht="30" customHeight="1">
      <c r="A1" s="32" t="inlineStr">
        <is>
          <t>Type</t>
        </is>
      </c>
      <c r="B1" s="32" t="inlineStr">
        <is>
          <t>Key</t>
        </is>
      </c>
      <c r="C1" s="32" t="inlineStr">
        <is>
          <t>Value</t>
        </is>
      </c>
    </row>
    <row r="2">
      <c r="A2" s="10" t="inlineStr">
        <is>
          <t>lens</t>
        </is>
      </c>
      <c r="B2" s="10" t="inlineStr">
        <is>
          <t>ship_readiness</t>
        </is>
      </c>
      <c r="C2" s="10" t="inlineStr">
        <is>
          <t>Delivery readiness</t>
        </is>
      </c>
    </row>
    <row r="3">
      <c r="A3" s="10" t="inlineStr">
        <is>
          <t>lens</t>
        </is>
      </c>
      <c r="B3" s="10" t="inlineStr">
        <is>
          <t>showcase_value</t>
        </is>
      </c>
      <c r="C3" s="10" t="inlineStr">
        <is>
          <t>Story and polish</t>
        </is>
      </c>
    </row>
    <row r="4">
      <c r="A4" s="10" t="inlineStr">
        <is>
          <t>profile</t>
        </is>
      </c>
      <c r="B4" s="10" t="inlineStr">
        <is>
          <t>default</t>
        </is>
      </c>
      <c r="C4" s="10" t="inlineStr">
        <is>
          <t>Balanced portfolio scoring.</t>
        </is>
      </c>
    </row>
    <row r="5">
      <c r="A5" s="10" t="inlineStr">
        <is>
          <t>tier</t>
        </is>
      </c>
      <c r="B5" s="10" t="inlineStr">
        <is>
          <t>shipped</t>
        </is>
      </c>
      <c r="C5" s="10" t="inlineStr">
        <is>
          <t>1</t>
        </is>
      </c>
    </row>
    <row r="6">
      <c r="A6" s="10" t="inlineStr">
        <is>
          <t>tier</t>
        </is>
      </c>
      <c r="B6" s="10" t="inlineStr">
        <is>
          <t>functional</t>
        </is>
      </c>
      <c r="C6" s="10" t="inlineStr">
        <is>
          <t>1</t>
        </is>
      </c>
    </row>
    <row r="7">
      <c r="A7" s="10" t="inlineStr">
        <is>
          <t>tier</t>
        </is>
      </c>
      <c r="B7" s="10" t="inlineStr">
        <is>
          <t>wip</t>
        </is>
      </c>
      <c r="C7" s="10" t="inlineStr">
        <is>
          <t>1</t>
        </is>
      </c>
    </row>
    <row r="8">
      <c r="A8" s="10" t="inlineStr">
        <is>
          <t>tier</t>
        </is>
      </c>
      <c r="B8" s="10" t="inlineStr">
        <is>
          <t>skeleton</t>
        </is>
      </c>
      <c r="C8" s="10" t="inlineStr">
        <is>
          <t>0</t>
        </is>
      </c>
    </row>
    <row r="9">
      <c r="A9" s="10" t="inlineStr">
        <is>
          <t>tier</t>
        </is>
      </c>
      <c r="B9" s="10" t="inlineStr">
        <is>
          <t>abandoned</t>
        </is>
      </c>
      <c r="C9" s="10" t="inlineStr">
        <is>
          <t>0</t>
        </is>
      </c>
    </row>
    <row r="10">
      <c r="A10" s="10" t="inlineStr">
        <is>
          <t>repo-selector</t>
        </is>
      </c>
      <c r="B10" s="10" t="inlineStr">
        <is>
          <t>RepoA</t>
        </is>
      </c>
      <c r="C10" s="10" t="inlineStr">
        <is>
          <t>RepoA</t>
        </is>
      </c>
    </row>
    <row r="11">
      <c r="A11" s="10" t="inlineStr">
        <is>
          <t>repo-selector</t>
        </is>
      </c>
      <c r="B11" s="10" t="inlineStr">
        <is>
          <t>RepoB</t>
        </is>
      </c>
      <c r="C11" s="10" t="inlineStr">
        <is>
          <t>RepoB</t>
        </is>
      </c>
    </row>
    <row r="12">
      <c r="A12" s="10" t="inlineStr">
        <is>
          <t>repo-selector</t>
        </is>
      </c>
      <c r="B12" s="10" t="inlineStr">
        <is>
          <t>RepoC</t>
        </is>
      </c>
      <c r="C12" s="10" t="inlineStr">
        <is>
          <t>RepoC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5.xml><?xml version="1.0" encoding="utf-8"?>
<worksheet xmlns="http://schemas.openxmlformats.org/spreadsheetml/2006/main">
  <sheetPr>
    <tabColor rgb="004F46E5"/>
    <outlinePr summaryBelow="1" summaryRight="1"/>
    <pageSetUpPr/>
  </sheetPr>
  <dimension ref="A1:O10"/>
  <sheetViews>
    <sheetView showGridLines="1" zoomScale="11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8" customWidth="1" min="2" max="2"/>
    <col width="8" customWidth="1" min="3" max="3"/>
    <col width="10" customWidth="1" min="4" max="4"/>
    <col width="12" customWidth="1" min="5" max="5"/>
    <col width="14" customWidth="1" min="6" max="6"/>
    <col width="17" customWidth="1" min="7" max="7"/>
    <col width="14" customWidth="1" min="8" max="8"/>
    <col width="19" customWidth="1" min="9" max="9"/>
    <col width="18" customWidth="1" min="10" max="10"/>
    <col width="17" customWidth="1" min="11" max="11"/>
    <col width="16" customWidth="1" min="12" max="12"/>
    <col width="18" customWidth="1" min="13" max="13"/>
    <col width="19" customWidth="1" min="14" max="14"/>
    <col width="8" customWidth="1" min="15" max="15"/>
  </cols>
  <sheetData>
    <row r="1">
      <c r="A1" s="1" t="inlineStr">
        <is>
          <t>Portfolio Catalog</t>
        </is>
      </c>
    </row>
    <row r="2">
      <c r="A2" s="7" t="inlineStr">
        <is>
          <t>Use this sheet to see what each repo is supposed to be, who owns it, and whether its current state still matches that intent.</t>
        </is>
      </c>
    </row>
    <row r="3">
      <c r="A3" s="7" t="inlineStr">
        <is>
          <t>No portfolio catalog contract is recorded yet.</t>
        </is>
      </c>
    </row>
    <row r="4">
      <c r="A4" s="7" t="inlineStr">
        <is>
          <t>Intent alignment cannot be judged until a portfolio catalog contract exists.</t>
        </is>
      </c>
    </row>
    <row r="5">
      <c r="A5" s="7" t="inlineStr">
        <is>
          <t>No normalized operating-path contract is recorded yet.</t>
        </is>
      </c>
    </row>
    <row r="6"/>
    <row r="7" ht="30" customHeight="1">
      <c r="A7" s="32" t="inlineStr">
        <is>
          <t>Repo</t>
        </is>
      </c>
      <c r="B7" s="32" t="inlineStr">
        <is>
          <t>Owner</t>
        </is>
      </c>
      <c r="C7" s="32" t="inlineStr">
        <is>
          <t>Team</t>
        </is>
      </c>
      <c r="D7" s="32" t="inlineStr">
        <is>
          <t>Purpose</t>
        </is>
      </c>
      <c r="E7" s="32" t="inlineStr">
        <is>
          <t>Lifecycle</t>
        </is>
      </c>
      <c r="F7" s="32" t="inlineStr">
        <is>
          <t>Criticality</t>
        </is>
      </c>
      <c r="G7" s="32" t="inlineStr">
        <is>
          <t>Review Cadence</t>
        </is>
      </c>
      <c r="H7" s="32" t="inlineStr">
        <is>
          <t>Disposition</t>
        </is>
      </c>
      <c r="I7" s="32" t="inlineStr">
        <is>
          <t>Maturity Program</t>
        </is>
      </c>
      <c r="J7" s="32" t="inlineStr">
        <is>
          <t>Target Maturity</t>
        </is>
      </c>
      <c r="K7" s="32" t="inlineStr">
        <is>
          <t>Operating Path</t>
        </is>
      </c>
      <c r="L7" s="32" t="inlineStr">
        <is>
          <t>Path Override</t>
        </is>
      </c>
      <c r="M7" s="32" t="inlineStr">
        <is>
          <t>Path Confidence</t>
        </is>
      </c>
      <c r="N7" s="32" t="inlineStr">
        <is>
          <t>Intent Alignment</t>
        </is>
      </c>
      <c r="O7" s="32" t="inlineStr">
        <is>
          <t>Notes</t>
        </is>
      </c>
    </row>
    <row r="8">
      <c r="A8" s="28" t="inlineStr">
        <is>
          <t>RepoA</t>
        </is>
      </c>
      <c r="B8" s="28" t="inlineStr"/>
      <c r="C8" s="28" t="inlineStr"/>
      <c r="D8" s="28" t="inlineStr"/>
      <c r="E8" s="28" t="inlineStr">
        <is>
          <t>—</t>
        </is>
      </c>
      <c r="F8" s="28" t="inlineStr">
        <is>
          <t>—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—</t>
        </is>
      </c>
      <c r="K8" s="28" t="inlineStr">
        <is>
          <t>—</t>
        </is>
      </c>
      <c r="L8" s="28" t="inlineStr">
        <is>
          <t>—</t>
        </is>
      </c>
      <c r="M8" s="28" t="inlineStr">
        <is>
          <t>—</t>
        </is>
      </c>
      <c r="N8" s="28" t="inlineStr">
        <is>
          <t>missing-contract</t>
        </is>
      </c>
      <c r="O8" s="28" t="inlineStr">
        <is>
          <t>—</t>
        </is>
      </c>
    </row>
    <row r="9">
      <c r="A9" s="10" t="inlineStr">
        <is>
          <t>RepoB</t>
        </is>
      </c>
      <c r="B9" s="10" t="inlineStr"/>
      <c r="C9" s="10" t="inlineStr"/>
      <c r="D9" s="10" t="inlineStr"/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missing-contract</t>
        </is>
      </c>
      <c r="O9" s="10" t="inlineStr">
        <is>
          <t>—</t>
        </is>
      </c>
    </row>
    <row r="10">
      <c r="A10" s="28" t="inlineStr">
        <is>
          <t>RepoC</t>
        </is>
      </c>
      <c r="B10" s="28" t="inlineStr"/>
      <c r="C10" s="28" t="inlineStr"/>
      <c r="D10" s="28" t="inlineStr"/>
      <c r="E10" s="28" t="inlineStr">
        <is>
          <t>—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—</t>
        </is>
      </c>
      <c r="K10" s="28" t="inlineStr">
        <is>
          <t>—</t>
        </is>
      </c>
      <c r="L10" s="28" t="inlineStr">
        <is>
          <t>—</t>
        </is>
      </c>
      <c r="M10" s="28" t="inlineStr">
        <is>
          <t>—</t>
        </is>
      </c>
      <c r="N10" s="28" t="inlineStr">
        <is>
          <t>missing-contract</t>
        </is>
      </c>
      <c r="O10" s="28" t="inlineStr">
        <is>
          <t>—</t>
        </is>
      </c>
    </row>
  </sheetData>
  <autoFilter ref="A7:O10"/>
  <mergeCells count="5">
    <mergeCell ref="A1:J1"/>
    <mergeCell ref="A5:O5"/>
    <mergeCell ref="A2:J2"/>
    <mergeCell ref="A4:O4"/>
    <mergeCell ref="A3:O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000891B2"/>
    <outlinePr summaryBelow="1" summaryRight="1"/>
    <pageSetUpPr/>
  </sheetPr>
  <dimension ref="A1:H5"/>
  <sheetViews>
    <sheetView showGridLines="1" zoomScale="110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8" customWidth="1" min="2" max="2"/>
    <col width="13" customWidth="1" min="3" max="3"/>
    <col width="8" customWidth="1" min="4" max="4"/>
    <col width="13" customWidth="1" min="5" max="5"/>
    <col width="8" customWidth="1" min="6" max="6"/>
    <col width="48" customWidth="1" min="7" max="7"/>
    <col width="9" customWidth="1" min="8" max="8"/>
  </cols>
  <sheetData>
    <row r="1">
      <c r="A1" s="6" t="inlineStr">
        <is>
          <t>Quick Wins — 2 repos near the next tier</t>
        </is>
      </c>
    </row>
    <row r="2"/>
    <row r="3" ht="30" customHeight="1">
      <c r="A3" s="32" t="inlineStr">
        <is>
          <t>Repo</t>
        </is>
      </c>
      <c r="B3" s="32" t="inlineStr">
        <is>
          <t>Grade</t>
        </is>
      </c>
      <c r="C3" s="32" t="inlineStr">
        <is>
          <t>Current</t>
        </is>
      </c>
      <c r="D3" s="32" t="inlineStr">
        <is>
          <t>Score</t>
        </is>
      </c>
      <c r="E3" s="32" t="inlineStr">
        <is>
          <t>Next Tier</t>
        </is>
      </c>
      <c r="F3" s="32" t="inlineStr">
        <is>
          <t>Gap</t>
        </is>
      </c>
      <c r="G3" s="32" t="inlineStr">
        <is>
          <t>Top Actions</t>
        </is>
      </c>
      <c r="H3" s="32" t="inlineStr">
        <is>
          <t>Badges</t>
        </is>
      </c>
    </row>
    <row r="4">
      <c r="A4" s="28" t="inlineStr">
        <is>
          <t>RepoC</t>
        </is>
      </c>
      <c r="B4" s="28" t="inlineStr">
        <is>
          <t>D</t>
        </is>
      </c>
      <c r="C4" s="28" t="inlineStr">
        <is>
          <t>wip</t>
        </is>
      </c>
      <c r="D4" s="28" t="n">
        <v>0.44</v>
      </c>
      <c r="E4" s="28" t="inlineStr">
        <is>
          <t>functional</t>
        </is>
      </c>
      <c r="F4" s="28" t="n">
        <v>0.11</v>
      </c>
      <c r="G4" s="28" t="inlineStr">
        <is>
          <t>Improve testing (0.2); Improve security (0.2)</t>
        </is>
      </c>
      <c r="H4" s="28" t="n">
        <v>0</v>
      </c>
    </row>
    <row r="5">
      <c r="A5" s="10" t="inlineStr">
        <is>
          <t>RepoB</t>
        </is>
      </c>
      <c r="B5" s="10" t="inlineStr">
        <is>
          <t>C</t>
        </is>
      </c>
      <c r="C5" s="10" t="inlineStr">
        <is>
          <t>functional</t>
        </is>
      </c>
      <c r="D5" s="10" t="n">
        <v>0.62</v>
      </c>
      <c r="E5" s="10" t="inlineStr">
        <is>
          <t>shipped</t>
        </is>
      </c>
      <c r="F5" s="10" t="n">
        <v>0.13</v>
      </c>
      <c r="G5" s="10" t="inlineStr">
        <is>
          <t>Improve release (0.5); Improve testing (0.6)</t>
        </is>
      </c>
      <c r="H5" s="10" t="n">
        <v>0</v>
      </c>
    </row>
  </sheetData>
  <mergeCells count="1">
    <mergeCell ref="A1:H1"/>
  </mergeCells>
  <conditionalFormatting sqref="F4:F5">
    <cfRule type="dataBar" priority="1">
      <dataBar>
        <cfvo type="num" val="0"/>
        <cfvo type="num" val="0.2"/>
        <color rgb="000EA5E9"/>
      </dataBar>
    </cfRule>
  </conditionalFormatting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007C3AED"/>
    <outlinePr summaryBelow="1" summaryRight="1"/>
    <pageSetUpPr/>
  </sheetPr>
  <dimension ref="A1:D11"/>
  <sheetViews>
    <sheetView showGridLines="1" zoomScale="105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inlineStr">
        <is>
          <t>RepoA</t>
        </is>
      </c>
      <c r="C1" t="inlineStr">
        <is>
          <t>RepoB</t>
        </is>
      </c>
      <c r="D1" t="inlineStr">
        <is>
          <t>RepoC</t>
        </is>
      </c>
    </row>
    <row r="2">
      <c r="A2" t="inlineStr">
        <is>
          <t>README</t>
        </is>
      </c>
      <c r="B2" t="n">
        <v>0</v>
      </c>
      <c r="C2" t="n">
        <v>0</v>
      </c>
      <c r="D2" t="n">
        <v>0</v>
      </c>
    </row>
    <row r="3">
      <c r="A3" t="inlineStr">
        <is>
          <t>Structure</t>
        </is>
      </c>
      <c r="B3" t="n">
        <v>0</v>
      </c>
      <c r="C3" t="n">
        <v>0</v>
      </c>
      <c r="D3" t="n">
        <v>0</v>
      </c>
    </row>
    <row r="4">
      <c r="A4" t="inlineStr">
        <is>
          <t>Code Quality</t>
        </is>
      </c>
      <c r="B4" t="n">
        <v>0</v>
      </c>
      <c r="C4" t="n">
        <v>0</v>
      </c>
      <c r="D4" t="n">
        <v>0</v>
      </c>
    </row>
    <row r="5">
      <c r="A5" t="inlineStr">
        <is>
          <t>Testing</t>
        </is>
      </c>
      <c r="B5" t="n">
        <v>0.9</v>
      </c>
      <c r="C5" t="n">
        <v>0.55</v>
      </c>
      <c r="D5" t="n">
        <v>0.18</v>
      </c>
    </row>
    <row r="6">
      <c r="A6" t="inlineStr">
        <is>
          <t>CI/CD</t>
        </is>
      </c>
      <c r="B6" t="n">
        <v>0</v>
      </c>
      <c r="C6" t="n">
        <v>0</v>
      </c>
      <c r="D6" t="n">
        <v>0</v>
      </c>
    </row>
    <row r="7">
      <c r="A7" t="inlineStr">
        <is>
          <t>Deps</t>
        </is>
      </c>
      <c r="B7" t="n">
        <v>0</v>
      </c>
      <c r="C7" t="n">
        <v>0</v>
      </c>
      <c r="D7" t="n">
        <v>0</v>
      </c>
    </row>
    <row r="8">
      <c r="A8" t="inlineStr">
        <is>
          <t>Activity</t>
        </is>
      </c>
      <c r="B8" t="n">
        <v>0</v>
      </c>
      <c r="C8" t="n">
        <v>0</v>
      </c>
      <c r="D8" t="n">
        <v>0</v>
      </c>
    </row>
    <row r="9">
      <c r="A9" t="inlineStr">
        <is>
          <t>Docs</t>
        </is>
      </c>
      <c r="B9" t="n">
        <v>0.85</v>
      </c>
      <c r="C9" t="n">
        <v>0</v>
      </c>
      <c r="D9" t="n">
        <v>0</v>
      </c>
    </row>
    <row r="10">
      <c r="A10" t="inlineStr">
        <is>
          <t>Build Ready</t>
        </is>
      </c>
      <c r="B10" t="n">
        <v>0</v>
      </c>
      <c r="C10" t="n">
        <v>0</v>
      </c>
      <c r="D10" t="n">
        <v>0</v>
      </c>
    </row>
    <row r="11">
      <c r="A11" t="inlineStr">
        <is>
          <t>Community</t>
        </is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tabColor rgb="001D4ED8"/>
    <outlinePr summaryBelow="1" summaryRight="1"/>
    <pageSetUpPr/>
  </sheetPr>
  <dimension ref="A1:G10"/>
  <sheetViews>
    <sheetView showGridLines="0" zoomScale="110" zoomScaleNormal="10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0" customWidth="1" min="3" max="3"/>
    <col width="9" customWidth="1" min="4" max="4"/>
    <col width="17" customWidth="1" min="5" max="5"/>
    <col width="13" customWidth="1" min="6" max="6"/>
    <col width="10" customWidth="1" min="7" max="7"/>
  </cols>
  <sheetData>
    <row r="1">
      <c r="A1" s="1" t="inlineStr">
        <is>
          <t>Review History</t>
        </is>
      </c>
    </row>
    <row r="2">
      <c r="A2" s="7" t="inlineStr">
        <is>
          <t>Use this ledger to see which recurring review is active now and how prior review runs were resolved, deferred, or left local-only.</t>
        </is>
      </c>
    </row>
    <row r="3"/>
    <row r="4">
      <c r="A4" s="6" t="inlineStr">
        <is>
          <t>Current State</t>
        </is>
      </c>
    </row>
    <row r="5">
      <c r="A5" s="2" t="inlineStr">
        <is>
          <t>Current Review</t>
        </is>
      </c>
      <c r="B5" s="10" t="inlineStr">
        <is>
          <t>sample-review-1</t>
        </is>
      </c>
    </row>
    <row r="6">
      <c r="A6" s="2" t="inlineStr">
        <is>
          <t>Current Status</t>
        </is>
      </c>
      <c r="B6" s="10" t="inlineStr">
        <is>
          <t>open</t>
        </is>
      </c>
    </row>
    <row r="7">
      <c r="A7" s="2" t="inlineStr">
        <is>
          <t>History Rows</t>
        </is>
      </c>
      <c r="B7" s="10" t="n">
        <v>1</v>
      </c>
    </row>
    <row r="8">
      <c r="A8" s="2" t="inlineStr">
        <is>
          <t>How To Read This</t>
        </is>
      </c>
      <c r="B8" s="10" t="inlineStr">
        <is>
          <t>The active review is summarized above; the ledger below is the historical trail.</t>
        </is>
      </c>
    </row>
    <row r="9" ht="30" customHeight="1">
      <c r="A9" s="32" t="inlineStr">
        <is>
          <t>Review ID</t>
        </is>
      </c>
      <c r="B9" s="32" t="inlineStr">
        <is>
          <t>Generated</t>
        </is>
      </c>
      <c r="C9" s="32" t="inlineStr">
        <is>
          <t>Changes</t>
        </is>
      </c>
      <c r="D9" s="32" t="inlineStr">
        <is>
          <t>Status</t>
        </is>
      </c>
      <c r="E9" s="32" t="inlineStr">
        <is>
          <t>Decision State</t>
        </is>
      </c>
      <c r="F9" s="32" t="inlineStr">
        <is>
          <t>Sync State</t>
        </is>
      </c>
      <c r="G9" s="32" t="inlineStr">
        <is>
          <t>Emitted</t>
        </is>
      </c>
    </row>
    <row r="10">
      <c r="A10" s="28" t="inlineStr">
        <is>
          <t>sample-review-1</t>
        </is>
      </c>
      <c r="B10" s="28" t="inlineStr">
        <is>
          <t>2026-04-12T12:00:00+00:00</t>
        </is>
      </c>
      <c r="C10" s="29" t="n">
        <v>2</v>
      </c>
      <c r="D10" s="28" t="inlineStr">
        <is>
          <t>open</t>
        </is>
      </c>
      <c r="E10" s="28" t="inlineStr">
        <is>
          <t>needs-review</t>
        </is>
      </c>
      <c r="F10" s="28" t="inlineStr">
        <is>
          <t>local-only</t>
        </is>
      </c>
      <c r="G10" s="29" t="inlineStr">
        <is>
          <t>yes</t>
        </is>
      </c>
    </row>
  </sheetData>
  <autoFilter ref="A9:G10"/>
  <mergeCells count="2"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tabColor rgb="00CA8A04"/>
    <outlinePr summaryBelow="1" summaryRight="1"/>
    <pageSetUpPr/>
  </sheetPr>
  <dimension ref="A1:F12"/>
  <sheetViews>
    <sheetView showGridLines="0" zoomScale="110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8" customWidth="1" min="2" max="2"/>
    <col width="13" customWidth="1" min="3" max="3"/>
    <col width="11" customWidth="1" min="4" max="4"/>
    <col width="18" customWidth="1" min="5" max="5"/>
    <col width="23" customWidth="1" min="6" max="6"/>
  </cols>
  <sheetData>
    <row r="1">
      <c r="A1" s="63" t="inlineStr">
        <is>
          <t>Scenario Planner</t>
        </is>
      </c>
    </row>
    <row r="2">
      <c r="A2" t="inlineStr">
        <is>
          <t>Profile: default</t>
        </is>
      </c>
    </row>
    <row r="3">
      <c r="A3" t="inlineStr">
        <is>
          <t>Collection: all</t>
        </is>
      </c>
    </row>
    <row r="4"/>
    <row r="5" ht="30" customHeight="1">
      <c r="A5" s="32" t="inlineStr">
        <is>
          <t>Lever</t>
        </is>
      </c>
      <c r="B5" s="32" t="inlineStr">
        <is>
          <t>Lens</t>
        </is>
      </c>
      <c r="C5" s="32" t="inlineStr">
        <is>
          <t>Repo Count</t>
        </is>
      </c>
      <c r="D5" s="32" t="inlineStr">
        <is>
          <t>Avg Lift</t>
        </is>
      </c>
      <c r="E5" s="32" t="inlineStr">
        <is>
          <t>Weighted Impact</t>
        </is>
      </c>
      <c r="F5" s="32" t="inlineStr">
        <is>
          <t>Projected Promotions</t>
        </is>
      </c>
    </row>
    <row r="6">
      <c r="A6" s="10" t="inlineStr">
        <is>
          <t>Publish the next maintenance release</t>
        </is>
      </c>
      <c r="B6" s="10" t="inlineStr"/>
      <c r="C6" s="30" t="n">
        <v>1</v>
      </c>
      <c r="D6" s="30" t="n">
        <v>0</v>
      </c>
      <c r="E6" s="30" t="n">
        <v>0</v>
      </c>
      <c r="F6" s="30" t="n">
        <v>0</v>
      </c>
    </row>
    <row r="7">
      <c r="A7" s="10" t="inlineStr">
        <is>
          <t>Close the reopened release item</t>
        </is>
      </c>
      <c r="B7" s="10" t="inlineStr"/>
      <c r="C7" s="30" t="n">
        <v>1</v>
      </c>
      <c r="D7" s="30" t="n">
        <v>0</v>
      </c>
      <c r="E7" s="30" t="n">
        <v>0</v>
      </c>
      <c r="F7" s="30" t="n">
        <v>0</v>
      </c>
    </row>
    <row r="8">
      <c r="A8" s="10" t="inlineStr">
        <is>
          <t>Preview governance controls</t>
        </is>
      </c>
      <c r="B8" s="10" t="inlineStr"/>
      <c r="C8" s="30" t="n">
        <v>1</v>
      </c>
      <c r="D8" s="30" t="n">
        <v>0</v>
      </c>
      <c r="E8" s="30" t="n">
        <v>0</v>
      </c>
      <c r="F8" s="30" t="n">
        <v>0</v>
      </c>
    </row>
    <row r="9"/>
    <row r="10">
      <c r="A10" s="2" t="inlineStr">
        <is>
          <t>Selected Repos</t>
        </is>
      </c>
      <c r="B10" t="n">
        <v>3</v>
      </c>
    </row>
    <row r="11">
      <c r="A11" s="2" t="inlineStr">
        <is>
          <t>Projected Avg Score Delta</t>
        </is>
      </c>
      <c r="B11" t="n">
        <v>0</v>
      </c>
    </row>
    <row r="12">
      <c r="A12" s="2" t="inlineStr">
        <is>
          <t>Projected Promotions</t>
        </is>
      </c>
      <c r="B12" t="n">
        <v>0</v>
      </c>
    </row>
  </sheetData>
  <autoFilter ref="A5:F8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tabColor rgb="0037474F"/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54" customWidth="1" min="3" max="3"/>
    <col width="47" customWidth="1" min="4" max="4"/>
  </cols>
  <sheetData>
    <row r="1">
      <c r="A1" s="63" t="inlineStr">
        <is>
          <t>Scoring System Reference</t>
        </is>
      </c>
    </row>
    <row r="2"/>
    <row r="3">
      <c r="A3" s="6" t="inlineStr">
        <is>
          <t>Dimension Weights</t>
        </is>
      </c>
    </row>
    <row r="4" ht="30" customHeight="1">
      <c r="A4" s="32" t="inlineStr">
        <is>
          <t>Dimension</t>
        </is>
      </c>
      <c r="B4" s="32" t="inlineStr">
        <is>
          <t>Weight</t>
        </is>
      </c>
      <c r="C4" s="32" t="inlineStr">
        <is>
          <t>What It Measures</t>
        </is>
      </c>
      <c r="D4" s="32" t="inlineStr">
        <is>
          <t>How to Improve</t>
        </is>
      </c>
    </row>
    <row r="5">
      <c r="A5" s="10" t="inlineStr">
        <is>
          <t>testing</t>
        </is>
      </c>
      <c r="B5" s="10" t="inlineStr">
        <is>
          <t>18%</t>
        </is>
      </c>
      <c r="C5" s="10" t="inlineStr">
        <is>
          <t>Test directories, framework, test file count</t>
        </is>
      </c>
      <c r="D5" s="10" t="inlineStr">
        <is>
          <t>Add test/ with pytest/jest/vitest configured</t>
        </is>
      </c>
    </row>
    <row r="6">
      <c r="A6" s="10" t="inlineStr">
        <is>
          <t>code_quality</t>
        </is>
      </c>
      <c r="B6" s="10" t="inlineStr">
        <is>
          <t>15%</t>
        </is>
      </c>
      <c r="C6" s="10" t="inlineStr">
        <is>
          <t>Entry points, TODO density, types, commit quality</t>
        </is>
      </c>
      <c r="D6" s="10" t="inlineStr">
        <is>
          <t>Add main entry point, reduce TODOs</t>
        </is>
      </c>
    </row>
    <row r="7">
      <c r="A7" s="10" t="inlineStr">
        <is>
          <t>activity</t>
        </is>
      </c>
      <c r="B7" s="10" t="inlineStr">
        <is>
          <t>15%</t>
        </is>
      </c>
      <c r="C7" s="10" t="inlineStr">
        <is>
          <t>Push recency, commit count, releases, bus factor</t>
        </is>
      </c>
      <c r="D7" s="10" t="inlineStr">
        <is>
          <t>Push regularly, tag releases</t>
        </is>
      </c>
    </row>
    <row r="8">
      <c r="A8" s="10" t="inlineStr">
        <is>
          <t>readme</t>
        </is>
      </c>
      <c r="B8" s="10" t="inlineStr">
        <is>
          <t>12%</t>
        </is>
      </c>
      <c r="C8" s="10" t="inlineStr">
        <is>
          <t>Exists, description, install instructions, examples</t>
        </is>
      </c>
      <c r="D8" s="10" t="inlineStr">
        <is>
          <t>Add usage section with code blocks</t>
        </is>
      </c>
    </row>
    <row r="9">
      <c r="A9" s="10" t="inlineStr">
        <is>
          <t>structure</t>
        </is>
      </c>
      <c r="B9" s="10" t="inlineStr">
        <is>
          <t>10%</t>
        </is>
      </c>
      <c r="C9" s="10" t="inlineStr">
        <is>
          <t>.gitignore, source dirs, config files, LICENSE</t>
        </is>
      </c>
      <c r="D9" s="10" t="inlineStr">
        <is>
          <t>Add .gitignore + LICENSE + package manifest</t>
        </is>
      </c>
    </row>
    <row r="10">
      <c r="A10" s="10" t="inlineStr">
        <is>
          <t>cicd</t>
        </is>
      </c>
      <c r="B10" s="10" t="inlineStr">
        <is>
          <t>10%</t>
        </is>
      </c>
      <c r="C10" s="10" t="inlineStr">
        <is>
          <t>GitHub Actions, CI configs, build scripts</t>
        </is>
      </c>
      <c r="D10" s="10" t="inlineStr">
        <is>
          <t>Add .github/workflows/ci.yml</t>
        </is>
      </c>
    </row>
    <row r="11">
      <c r="A11" s="10" t="inlineStr">
        <is>
          <t>dependencies</t>
        </is>
      </c>
      <c r="B11" s="10" t="inlineStr">
        <is>
          <t>8%</t>
        </is>
      </c>
      <c r="C11" s="10" t="inlineStr">
        <is>
          <t>Manifest + lockfile, dep count, libyears</t>
        </is>
      </c>
      <c r="D11" s="10" t="inlineStr">
        <is>
          <t>Add lockfile alongside manifest</t>
        </is>
      </c>
    </row>
    <row r="12">
      <c r="A12" s="10" t="inlineStr">
        <is>
          <t>build_readiness</t>
        </is>
      </c>
      <c r="B12" s="10" t="inlineStr">
        <is>
          <t>7%</t>
        </is>
      </c>
      <c r="C12" s="10" t="inlineStr">
        <is>
          <t>Docker, Makefile, .env.example, deploy configs</t>
        </is>
      </c>
      <c r="D12" s="10" t="inlineStr">
        <is>
          <t>Add Dockerfile or Makefile</t>
        </is>
      </c>
    </row>
    <row r="13">
      <c r="A13" s="10" t="inlineStr">
        <is>
          <t>community_profile</t>
        </is>
      </c>
      <c r="B13" s="10" t="inlineStr">
        <is>
          <t>3%</t>
        </is>
      </c>
      <c r="C13" s="10" t="inlineStr">
        <is>
          <t>LICENSE, CONTRIBUTING, CODE_OF_CONDUCT</t>
        </is>
      </c>
      <c r="D13" s="10" t="inlineStr">
        <is>
          <t>Add CONTRIBUTING.md</t>
        </is>
      </c>
    </row>
    <row r="14">
      <c r="A14" s="10" t="inlineStr">
        <is>
          <t>documentation</t>
        </is>
      </c>
      <c r="B14" s="10" t="inlineStr">
        <is>
          <t>2%</t>
        </is>
      </c>
      <c r="C14" s="10" t="inlineStr">
        <is>
          <t>docs/ dir, CHANGELOG, comment density</t>
        </is>
      </c>
      <c r="D14" s="10" t="inlineStr">
        <is>
          <t>Add docs/ folder or CHANGELOG.md</t>
        </is>
      </c>
    </row>
    <row r="15"/>
    <row r="16">
      <c r="A16" s="6" t="inlineStr">
        <is>
          <t>Grade Thresholds</t>
        </is>
      </c>
    </row>
    <row r="17">
      <c r="A17" s="66" t="inlineStr">
        <is>
          <t>A</t>
        </is>
      </c>
      <c r="B17" t="inlineStr">
        <is>
          <t>&gt;= 80%</t>
        </is>
      </c>
    </row>
    <row r="18">
      <c r="A18" s="67" t="inlineStr">
        <is>
          <t>B</t>
        </is>
      </c>
      <c r="B18" t="inlineStr">
        <is>
          <t>&gt;= 70%</t>
        </is>
      </c>
    </row>
    <row r="19">
      <c r="A19" s="68" t="inlineStr">
        <is>
          <t>C</t>
        </is>
      </c>
      <c r="B19" t="inlineStr">
        <is>
          <t>&gt;= 55%</t>
        </is>
      </c>
    </row>
    <row r="20">
      <c r="A20" s="69" t="inlineStr">
        <is>
          <t>D</t>
        </is>
      </c>
      <c r="B20" t="inlineStr">
        <is>
          <t>&gt;= 35%</t>
        </is>
      </c>
    </row>
    <row r="21">
      <c r="A21" s="70" t="inlineStr">
        <is>
          <t>F</t>
        </is>
      </c>
      <c r="B21" t="inlineStr">
        <is>
          <t>&gt;= 0%</t>
        </is>
      </c>
    </row>
    <row r="22"/>
    <row r="23">
      <c r="A23" s="6" t="inlineStr">
        <is>
          <t>Tier Thresholds</t>
        </is>
      </c>
    </row>
    <row r="24">
      <c r="A24" s="71" t="inlineStr">
        <is>
          <t>Shipped</t>
        </is>
      </c>
      <c r="B24" t="inlineStr">
        <is>
          <t>&gt;= 75%</t>
        </is>
      </c>
    </row>
    <row r="25">
      <c r="A25" s="72" t="inlineStr">
        <is>
          <t>Functional</t>
        </is>
      </c>
      <c r="B25" t="inlineStr">
        <is>
          <t>&gt;= 55%</t>
        </is>
      </c>
    </row>
    <row r="26">
      <c r="A26" s="73" t="inlineStr">
        <is>
          <t>Wip</t>
        </is>
      </c>
      <c r="B26" t="inlineStr">
        <is>
          <t>&gt;= 35%</t>
        </is>
      </c>
    </row>
    <row r="27">
      <c r="A27" s="74" t="inlineStr">
        <is>
          <t>Skeleton</t>
        </is>
      </c>
      <c r="B27" t="inlineStr">
        <is>
          <t>&gt;= 15%</t>
        </is>
      </c>
    </row>
    <row r="28">
      <c r="A28" s="75" t="inlineStr">
        <is>
          <t>Abandoned</t>
        </is>
      </c>
      <c r="B28" t="inlineStr">
        <is>
          <t>&gt;= 0%</t>
        </is>
      </c>
    </row>
    <row r="29"/>
  </sheetData>
  <mergeCells count="1">
    <mergeCell ref="A1:D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tabColor rgb="007C3AED"/>
    <outlinePr summaryBelow="1" summaryRight="1"/>
    <pageSetUpPr/>
  </sheetPr>
  <dimension ref="A1:J8"/>
  <sheetViews>
    <sheetView showGridLines="1" zoomScale="110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9" customWidth="1" min="4" max="4"/>
    <col width="9" customWidth="1" min="5" max="5"/>
    <col width="8" customWidth="1" min="6" max="6"/>
    <col width="11" customWidth="1" min="7" max="7"/>
    <col width="10" customWidth="1" min="8" max="8"/>
  </cols>
  <sheetData>
    <row r="1">
      <c r="A1" s="1" t="inlineStr">
        <is>
          <t>Scorecards</t>
        </is>
      </c>
    </row>
    <row r="2">
      <c r="A2" s="7" t="inlineStr">
        <is>
          <t>Use this sheet to compare each repo against the maturity bar that matches its intended role.</t>
        </is>
      </c>
    </row>
    <row r="3">
      <c r="A3" s="7" t="inlineStr">
        <is>
          <t>No maturity scorecard is recorded yet.</t>
        </is>
      </c>
    </row>
    <row r="4"/>
    <row r="5" ht="30" customHeight="1">
      <c r="A5" s="32" t="inlineStr">
        <is>
          <t>Repo</t>
        </is>
      </c>
      <c r="B5" s="32" t="inlineStr">
        <is>
          <t>Program</t>
        </is>
      </c>
      <c r="C5" s="32" t="inlineStr">
        <is>
          <t>Maturity</t>
        </is>
      </c>
      <c r="D5" s="32" t="inlineStr">
        <is>
          <t>Target</t>
        </is>
      </c>
      <c r="E5" s="32" t="inlineStr">
        <is>
          <t>Status</t>
        </is>
      </c>
      <c r="F5" s="32" t="inlineStr">
        <is>
          <t>Score</t>
        </is>
      </c>
      <c r="G5" s="32" t="inlineStr">
        <is>
          <t>Top Gaps</t>
        </is>
      </c>
      <c r="H5" s="32" t="inlineStr">
        <is>
          <t>Summary</t>
        </is>
      </c>
    </row>
    <row r="6">
      <c r="A6" s="28" t="inlineStr">
        <is>
          <t>RepoA</t>
        </is>
      </c>
      <c r="B6" s="28" t="inlineStr">
        <is>
          <t>—</t>
        </is>
      </c>
      <c r="C6" s="29" t="inlineStr">
        <is>
          <t>—</t>
        </is>
      </c>
      <c r="D6" s="29" t="inlineStr">
        <is>
          <t>—</t>
        </is>
      </c>
      <c r="E6" s="29" t="inlineStr">
        <is>
          <t>—</t>
        </is>
      </c>
      <c r="F6" s="29" t="n">
        <v>0</v>
      </c>
      <c r="G6" s="28" t="inlineStr">
        <is>
          <t>—</t>
        </is>
      </c>
      <c r="H6" s="28" t="inlineStr">
        <is>
          <t>—</t>
        </is>
      </c>
    </row>
    <row r="7">
      <c r="A7" s="10" t="inlineStr">
        <is>
          <t>RepoB</t>
        </is>
      </c>
      <c r="B7" s="10" t="inlineStr">
        <is>
          <t>—</t>
        </is>
      </c>
      <c r="C7" s="30" t="inlineStr">
        <is>
          <t>—</t>
        </is>
      </c>
      <c r="D7" s="30" t="inlineStr">
        <is>
          <t>—</t>
        </is>
      </c>
      <c r="E7" s="30" t="inlineStr">
        <is>
          <t>—</t>
        </is>
      </c>
      <c r="F7" s="30" t="n">
        <v>0</v>
      </c>
      <c r="G7" s="10" t="inlineStr">
        <is>
          <t>—</t>
        </is>
      </c>
      <c r="H7" s="10" t="inlineStr">
        <is>
          <t>—</t>
        </is>
      </c>
    </row>
    <row r="8">
      <c r="A8" s="28" t="inlineStr">
        <is>
          <t>RepoC</t>
        </is>
      </c>
      <c r="B8" s="28" t="inlineStr">
        <is>
          <t>—</t>
        </is>
      </c>
      <c r="C8" s="29" t="inlineStr">
        <is>
          <t>—</t>
        </is>
      </c>
      <c r="D8" s="29" t="inlineStr">
        <is>
          <t>—</t>
        </is>
      </c>
      <c r="E8" s="29" t="inlineStr">
        <is>
          <t>—</t>
        </is>
      </c>
      <c r="F8" s="29" t="n">
        <v>0</v>
      </c>
      <c r="G8" s="28" t="inlineStr">
        <is>
          <t>—</t>
        </is>
      </c>
      <c r="H8" s="28" t="inlineStr">
        <is>
          <t>—</t>
        </is>
      </c>
    </row>
  </sheetData>
  <autoFilter ref="A5:H8"/>
  <mergeCells count="3">
    <mergeCell ref="A1:J1"/>
    <mergeCell ref="A3:H3"/>
    <mergeCell ref="A2:J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tabColor rgb="00D97706"/>
    <outlinePr summaryBelow="1" summaryRight="1"/>
    <pageSetUpPr/>
  </sheetPr>
  <dimension ref="A1:N4"/>
  <sheetViews>
    <sheetView showGridLines="1" zoomScale="105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2" customWidth="1" min="5" max="5"/>
    <col width="15" customWidth="1" min="6" max="6"/>
    <col width="10" customWidth="1" min="7" max="7"/>
    <col width="8" customWidth="1" min="8" max="8"/>
    <col width="15" customWidth="1" min="9" max="9"/>
    <col width="11" customWidth="1" min="10" max="10"/>
    <col width="16" customWidth="1" min="11" max="11"/>
    <col width="18" customWidth="1" min="12" max="12"/>
    <col width="20" customWidth="1" min="13" max="13"/>
    <col width="11" customWidth="1" min="14" max="14"/>
  </cols>
  <sheetData>
    <row r="1" ht="30" customHeight="1">
      <c r="A1" s="32" t="inlineStr">
        <is>
          <t>Repo</t>
        </is>
      </c>
      <c r="B1" s="32" t="inlineStr">
        <is>
          <t>Grade</t>
        </is>
      </c>
      <c r="C1" s="32" t="inlineStr">
        <is>
          <t>Overall</t>
        </is>
      </c>
      <c r="D1" s="32" t="inlineStr">
        <is>
          <t>Readme</t>
        </is>
      </c>
      <c r="E1" s="32" t="inlineStr">
        <is>
          <t>Structure</t>
        </is>
      </c>
      <c r="F1" s="32" t="inlineStr">
        <is>
          <t>Code Quality</t>
        </is>
      </c>
      <c r="G1" s="32" t="inlineStr">
        <is>
          <t>Testing</t>
        </is>
      </c>
      <c r="H1" s="32" t="inlineStr">
        <is>
          <t>Cicd</t>
        </is>
      </c>
      <c r="I1" s="32" t="inlineStr">
        <is>
          <t>Dependencies</t>
        </is>
      </c>
      <c r="J1" s="32" t="inlineStr">
        <is>
          <t>Activity</t>
        </is>
      </c>
      <c r="K1" s="32" t="inlineStr">
        <is>
          <t>Documentation</t>
        </is>
      </c>
      <c r="L1" s="32" t="inlineStr">
        <is>
          <t>Build Readiness</t>
        </is>
      </c>
      <c r="M1" s="32" t="inlineStr">
        <is>
          <t>Community Profile</t>
        </is>
      </c>
      <c r="N1" s="32" t="inlineStr">
        <is>
          <t>Interest</t>
        </is>
      </c>
    </row>
    <row r="2">
      <c r="A2" s="10" t="inlineStr">
        <is>
          <t>RepoA</t>
        </is>
      </c>
      <c r="B2" s="66" t="inlineStr">
        <is>
          <t>A</t>
        </is>
      </c>
      <c r="C2" s="30" t="n">
        <v>0.88</v>
      </c>
      <c r="D2" s="76" t="n">
        <v>0</v>
      </c>
      <c r="E2" s="76" t="n">
        <v>0</v>
      </c>
      <c r="F2" s="76" t="n">
        <v>0</v>
      </c>
      <c r="G2" s="76" t="n">
        <v>0.9</v>
      </c>
      <c r="H2" s="76" t="n">
        <v>0</v>
      </c>
      <c r="I2" s="76" t="n">
        <v>0</v>
      </c>
      <c r="J2" s="76" t="n">
        <v>0</v>
      </c>
      <c r="K2" s="76" t="n">
        <v>0.85</v>
      </c>
      <c r="L2" s="76" t="n">
        <v>0</v>
      </c>
      <c r="M2" s="76" t="n">
        <v>0</v>
      </c>
      <c r="N2" s="76" t="n">
        <v>0</v>
      </c>
    </row>
    <row r="3">
      <c r="A3" s="10" t="inlineStr">
        <is>
          <t>RepoB</t>
        </is>
      </c>
      <c r="B3" s="68" t="inlineStr">
        <is>
          <t>C</t>
        </is>
      </c>
      <c r="C3" s="30" t="n">
        <v>0.62</v>
      </c>
      <c r="D3" s="76" t="n">
        <v>0</v>
      </c>
      <c r="E3" s="76" t="n">
        <v>0</v>
      </c>
      <c r="F3" s="76" t="n">
        <v>0</v>
      </c>
      <c r="G3" s="76" t="n">
        <v>0.55</v>
      </c>
      <c r="H3" s="76" t="n">
        <v>0</v>
      </c>
      <c r="I3" s="76" t="n">
        <v>0</v>
      </c>
      <c r="J3" s="76" t="n">
        <v>0</v>
      </c>
      <c r="K3" s="76" t="n">
        <v>0</v>
      </c>
      <c r="L3" s="76" t="n">
        <v>0</v>
      </c>
      <c r="M3" s="76" t="n">
        <v>0</v>
      </c>
      <c r="N3" s="76" t="n">
        <v>0</v>
      </c>
    </row>
    <row r="4">
      <c r="A4" s="10" t="inlineStr">
        <is>
          <t>RepoC</t>
        </is>
      </c>
      <c r="B4" s="69" t="inlineStr">
        <is>
          <t>D</t>
        </is>
      </c>
      <c r="C4" s="30" t="n">
        <v>0.44</v>
      </c>
      <c r="D4" s="76" t="n">
        <v>0</v>
      </c>
      <c r="E4" s="76" t="n">
        <v>0</v>
      </c>
      <c r="F4" s="76" t="n">
        <v>0</v>
      </c>
      <c r="G4" s="76" t="n">
        <v>0.18</v>
      </c>
      <c r="H4" s="76" t="n">
        <v>0</v>
      </c>
      <c r="I4" s="76" t="n">
        <v>0</v>
      </c>
      <c r="J4" s="76" t="n">
        <v>0</v>
      </c>
      <c r="K4" s="76" t="n">
        <v>0</v>
      </c>
      <c r="L4" s="76" t="n">
        <v>0</v>
      </c>
      <c r="M4" s="76" t="n">
        <v>0</v>
      </c>
      <c r="N4" s="76" t="n">
        <v>0</v>
      </c>
    </row>
  </sheetData>
  <conditionalFormatting sqref="C2:C4">
    <cfRule type="colorScale" priority="1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D2:D4">
    <cfRule type="colorScale" priority="2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E2:E4">
    <cfRule type="colorScale" priority="3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F2:F4">
    <cfRule type="colorScale" priority="4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G2:G4">
    <cfRule type="colorScale" priority="5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H2:H4">
    <cfRule type="colorScale" priority="6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I2:I4">
    <cfRule type="colorScale" priority="7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J2:J4">
    <cfRule type="colorScale" priority="8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K2:K4">
    <cfRule type="colorScale" priority="9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L2:L4">
    <cfRule type="colorScale" priority="10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M2:M4">
    <cfRule type="colorScale" priority="11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N2:N4">
    <cfRule type="colorScale" priority="12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tabColor rgb="00991B1B"/>
    <outlinePr summaryBelow="1" summaryRight="1"/>
    <pageSetUpPr/>
  </sheetPr>
  <dimension ref="A1:N4"/>
  <sheetViews>
    <sheetView showGridLines="1" zoomScale="105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14" customWidth="1" min="5" max="5"/>
    <col width="13" customWidth="1" min="6" max="6"/>
    <col width="9" customWidth="1" min="7" max="7"/>
    <col width="11" customWidth="1" min="8" max="8"/>
    <col width="15" customWidth="1" min="9" max="9"/>
    <col width="11" customWidth="1" min="10" max="10"/>
    <col width="18" customWidth="1" min="11" max="11"/>
    <col width="14" customWidth="1" min="12" max="12"/>
    <col width="15" customWidth="1" min="13" max="13"/>
    <col width="13" customWidth="1" min="14" max="14"/>
  </cols>
  <sheetData>
    <row r="1" ht="30" customHeight="1">
      <c r="A1" s="32" t="inlineStr">
        <is>
          <t>Repo</t>
        </is>
      </c>
      <c r="B1" s="32" t="inlineStr">
        <is>
          <t>Score</t>
        </is>
      </c>
      <c r="C1" s="32" t="inlineStr">
        <is>
          <t>Secrets</t>
        </is>
      </c>
      <c r="D1" s="32" t="inlineStr">
        <is>
          <t>Dangerous Files</t>
        </is>
      </c>
      <c r="E1" s="32" t="inlineStr">
        <is>
          <t>SECURITY.md</t>
        </is>
      </c>
      <c r="F1" s="32" t="inlineStr">
        <is>
          <t>Dependabot</t>
        </is>
      </c>
      <c r="G1" s="32" t="inlineStr">
        <is>
          <t>GitHub</t>
        </is>
      </c>
      <c r="H1" s="32" t="inlineStr">
        <is>
          <t>Findings</t>
        </is>
      </c>
      <c r="I1" s="32" t="inlineStr">
        <is>
          <t>Dep Critical</t>
        </is>
      </c>
      <c r="J1" s="32" t="inlineStr">
        <is>
          <t>Dep High</t>
        </is>
      </c>
      <c r="K1" s="32" t="inlineStr">
        <is>
          <t>CodeQL Critical</t>
        </is>
      </c>
      <c r="L1" s="32" t="inlineStr">
        <is>
          <t>CodeQL High</t>
        </is>
      </c>
      <c r="M1" s="32" t="inlineStr">
        <is>
          <t>Secrets Open</t>
        </is>
      </c>
      <c r="N1" s="32" t="inlineStr">
        <is>
          <t>OSSF Score</t>
        </is>
      </c>
    </row>
    <row r="2">
      <c r="A2" s="28" t="inlineStr">
        <is>
          <t>RepoC</t>
        </is>
      </c>
      <c r="B2" s="28" t="n">
        <v>0.28</v>
      </c>
      <c r="C2" s="28" t="n">
        <v>0</v>
      </c>
      <c r="D2" s="28" t="inlineStr"/>
      <c r="E2" s="28" t="inlineStr">
        <is>
          <t>No</t>
        </is>
      </c>
      <c r="F2" s="28" t="inlineStr">
        <is>
          <t>No</t>
        </is>
      </c>
      <c r="G2" s="28" t="inlineStr">
        <is>
          <t>No</t>
        </is>
      </c>
      <c r="H2" s="28" t="inlineStr"/>
      <c r="I2" s="28" t="inlineStr">
        <is>
          <t>—</t>
        </is>
      </c>
      <c r="J2" s="28" t="inlineStr">
        <is>
          <t>—</t>
        </is>
      </c>
      <c r="K2" s="28" t="inlineStr">
        <is>
          <t>—</t>
        </is>
      </c>
      <c r="L2" s="28" t="inlineStr">
        <is>
          <t>—</t>
        </is>
      </c>
      <c r="M2" s="28" t="inlineStr">
        <is>
          <t>—</t>
        </is>
      </c>
      <c r="N2" s="28" t="inlineStr">
        <is>
          <t>—</t>
        </is>
      </c>
    </row>
    <row r="3">
      <c r="A3" s="10" t="inlineStr">
        <is>
          <t>RepoB</t>
        </is>
      </c>
      <c r="B3" s="10" t="n">
        <v>0.66</v>
      </c>
      <c r="C3" s="10" t="n">
        <v>0</v>
      </c>
      <c r="D3" s="10" t="inlineStr"/>
      <c r="E3" s="10" t="inlineStr">
        <is>
          <t>No</t>
        </is>
      </c>
      <c r="F3" s="10" t="inlineStr">
        <is>
          <t>No</t>
        </is>
      </c>
      <c r="G3" s="10" t="inlineStr">
        <is>
          <t>No</t>
        </is>
      </c>
      <c r="H3" s="10" t="inlineStr"/>
      <c r="I3" s="10" t="inlineStr">
        <is>
          <t>—</t>
        </is>
      </c>
      <c r="J3" s="10" t="inlineStr">
        <is>
          <t>—</t>
        </is>
      </c>
      <c r="K3" s="10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0" t="inlineStr">
        <is>
          <t>—</t>
        </is>
      </c>
    </row>
    <row r="4">
      <c r="A4" s="28" t="inlineStr">
        <is>
          <t>RepoA</t>
        </is>
      </c>
      <c r="B4" s="28" t="n">
        <v>0.82</v>
      </c>
      <c r="C4" s="28" t="n">
        <v>0</v>
      </c>
      <c r="D4" s="28" t="inlineStr"/>
      <c r="E4" s="28" t="inlineStr">
        <is>
          <t>No</t>
        </is>
      </c>
      <c r="F4" s="28" t="inlineStr">
        <is>
          <t>No</t>
        </is>
      </c>
      <c r="G4" s="28" t="inlineStr">
        <is>
          <t>No</t>
        </is>
      </c>
      <c r="H4" s="28" t="inlineStr"/>
      <c r="I4" s="28" t="inlineStr">
        <is>
          <t>—</t>
        </is>
      </c>
      <c r="J4" s="28" t="inlineStr">
        <is>
          <t>—</t>
        </is>
      </c>
      <c r="K4" s="28" t="inlineStr">
        <is>
          <t>—</t>
        </is>
      </c>
      <c r="L4" s="28" t="inlineStr">
        <is>
          <t>—</t>
        </is>
      </c>
      <c r="M4" s="28" t="inlineStr">
        <is>
          <t>—</t>
        </is>
      </c>
      <c r="N4" s="28" t="inlineStr">
        <is>
          <t>—</t>
        </is>
      </c>
    </row>
  </sheetData>
  <autoFilter ref="A1:N4"/>
  <conditionalFormatting sqref="B2:B4">
    <cfRule type="colorScale" priority="1">
      <colorScale>
        <cfvo type="num" val="0"/>
        <cfvo type="num" val="0.5"/>
        <cfvo type="num" val="1"/>
        <color rgb="00FFCDD2"/>
        <color rgb="00FFF9C4"/>
        <color rgb="00C8E6C9"/>
      </colorScale>
    </cfRule>
    <cfRule type="iconSet" priority="2">
      <iconSet iconSet="3TrafficLights1">
        <cfvo type="num" val="0"/>
        <cfvo type="num" val="0.4"/>
        <cfvo type="num" val="0.7"/>
      </iconSet>
    </cfRule>
  </conditionalFormatting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tabColor rgb="000F766E"/>
    <outlinePr summaryBelow="1" summaryRight="1"/>
    <pageSetUpPr/>
  </sheetPr>
  <dimension ref="A1:G4"/>
  <sheetViews>
    <sheetView showGridLines="1" zoomScale="105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9" customWidth="1" min="4" max="4"/>
    <col width="14" customWidth="1" min="5" max="5"/>
    <col width="16" customWidth="1" min="6" max="6"/>
    <col width="18" customWidth="1" min="7" max="7"/>
  </cols>
  <sheetData>
    <row r="1" ht="30" customHeight="1">
      <c r="A1" s="32" t="inlineStr">
        <is>
          <t>Repo</t>
        </is>
      </c>
      <c r="B1" s="32" t="inlineStr">
        <is>
          <t>SECURITY.md</t>
        </is>
      </c>
      <c r="C1" s="32" t="inlineStr">
        <is>
          <t>Dependabot</t>
        </is>
      </c>
      <c r="D1" s="32" t="inlineStr">
        <is>
          <t>Dependency Graph</t>
        </is>
      </c>
      <c r="E1" s="32" t="inlineStr">
        <is>
          <t>SBOM</t>
        </is>
      </c>
      <c r="F1" s="32" t="inlineStr">
        <is>
          <t>Code Scanning</t>
        </is>
      </c>
      <c r="G1" s="32" t="inlineStr">
        <is>
          <t>Secret Scanning</t>
        </is>
      </c>
    </row>
    <row r="2">
      <c r="A2" s="28" t="inlineStr">
        <is>
          <t>RepoC</t>
        </is>
      </c>
      <c r="B2" s="29" t="inlineStr">
        <is>
          <t>No</t>
        </is>
      </c>
      <c r="C2" s="29" t="inlineStr">
        <is>
          <t>No</t>
        </is>
      </c>
      <c r="D2" s="29" t="inlineStr">
        <is>
          <t>unavailable</t>
        </is>
      </c>
      <c r="E2" s="29" t="inlineStr">
        <is>
          <t>unavailable</t>
        </is>
      </c>
      <c r="F2" s="29" t="inlineStr">
        <is>
          <t>unavailable</t>
        </is>
      </c>
      <c r="G2" s="29" t="inlineStr">
        <is>
          <t>unavailable</t>
        </is>
      </c>
    </row>
    <row r="3">
      <c r="A3" s="10" t="inlineStr">
        <is>
          <t>RepoB</t>
        </is>
      </c>
      <c r="B3" s="30" t="inlineStr">
        <is>
          <t>No</t>
        </is>
      </c>
      <c r="C3" s="30" t="inlineStr">
        <is>
          <t>No</t>
        </is>
      </c>
      <c r="D3" s="30" t="inlineStr">
        <is>
          <t>unavailable</t>
        </is>
      </c>
      <c r="E3" s="30" t="inlineStr">
        <is>
          <t>unavailable</t>
        </is>
      </c>
      <c r="F3" s="30" t="inlineStr">
        <is>
          <t>unavailable</t>
        </is>
      </c>
      <c r="G3" s="30" t="inlineStr">
        <is>
          <t>unavailable</t>
        </is>
      </c>
    </row>
    <row r="4">
      <c r="A4" s="28" t="inlineStr">
        <is>
          <t>RepoA</t>
        </is>
      </c>
      <c r="B4" s="29" t="inlineStr">
        <is>
          <t>No</t>
        </is>
      </c>
      <c r="C4" s="29" t="inlineStr">
        <is>
          <t>No</t>
        </is>
      </c>
      <c r="D4" s="29" t="inlineStr">
        <is>
          <t>unavailable</t>
        </is>
      </c>
      <c r="E4" s="29" t="inlineStr">
        <is>
          <t>unavailable</t>
        </is>
      </c>
      <c r="F4" s="29" t="inlineStr">
        <is>
          <t>unavailable</t>
        </is>
      </c>
      <c r="G4" s="29" t="inlineStr">
        <is>
          <t>unavailable</t>
        </is>
      </c>
    </row>
  </sheetData>
  <autoFilter ref="A1:G4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tabColor rgb="00B91C1C"/>
    <outlinePr summaryBelow="1" summaryRight="1"/>
    <pageSetUpPr/>
  </sheetPr>
  <dimension ref="A1:F2"/>
  <sheetViews>
    <sheetView showGridLines="1" zoomScale="105" zoomScaleNormal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0" customWidth="1" min="3" max="3"/>
    <col width="16" customWidth="1" min="4" max="4"/>
    <col width="9" customWidth="1" min="5" max="5"/>
    <col width="9" customWidth="1" min="6" max="6"/>
  </cols>
  <sheetData>
    <row r="1" ht="30" customHeight="1">
      <c r="A1" s="32" t="inlineStr">
        <is>
          <t>Repo</t>
        </is>
      </c>
      <c r="B1" s="32" t="inlineStr">
        <is>
          <t>Priority</t>
        </is>
      </c>
      <c r="C1" s="32" t="inlineStr">
        <is>
          <t>Action</t>
        </is>
      </c>
      <c r="D1" s="32" t="inlineStr">
        <is>
          <t>Expected Lift</t>
        </is>
      </c>
      <c r="E1" s="32" t="inlineStr">
        <is>
          <t>Effort</t>
        </is>
      </c>
      <c r="F1" s="32" t="inlineStr">
        <is>
          <t>Source</t>
        </is>
      </c>
    </row>
    <row r="2">
      <c r="A2" s="28" t="inlineStr">
        <is>
          <t>RepoC</t>
        </is>
      </c>
      <c r="B2" s="29" t="inlineStr">
        <is>
          <t>high</t>
        </is>
      </c>
      <c r="C2" s="28" t="inlineStr">
        <is>
          <t>Enable CodeQL default setup</t>
        </is>
      </c>
      <c r="D2" s="29" t="n">
        <v>0.12</v>
      </c>
      <c r="E2" s="29" t="inlineStr">
        <is>
          <t>medium</t>
        </is>
      </c>
      <c r="F2" s="29" t="inlineStr">
        <is>
          <t>github</t>
        </is>
      </c>
    </row>
  </sheetData>
  <autoFilter ref="A1:F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tabColor rgb="007C3AED"/>
    <outlinePr summaryBelow="1" summaryRight="1"/>
    <pageSetUpPr/>
  </sheetPr>
  <dimension ref="A1:F4"/>
  <sheetViews>
    <sheetView showGridLines="1" zoomScale="105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19" customWidth="1" min="3" max="3"/>
    <col width="14" customWidth="1" min="4" max="4"/>
    <col width="12" customWidth="1" min="5" max="5"/>
    <col width="21" customWidth="1" min="6" max="6"/>
  </cols>
  <sheetData>
    <row r="1" ht="30" customHeight="1">
      <c r="A1" s="32" t="inlineStr">
        <is>
          <t>Repo</t>
        </is>
      </c>
      <c r="B1" s="32" t="inlineStr">
        <is>
          <t>Security Score</t>
        </is>
      </c>
      <c r="C1" s="32" t="inlineStr">
        <is>
          <t>Dependency Graph</t>
        </is>
      </c>
      <c r="D1" s="32" t="inlineStr">
        <is>
          <t>SBOM</t>
        </is>
      </c>
      <c r="E1" s="32" t="inlineStr">
        <is>
          <t>Scorecard</t>
        </is>
      </c>
      <c r="F1" s="32" t="inlineStr">
        <is>
          <t>Top Recommendation</t>
        </is>
      </c>
    </row>
    <row r="2">
      <c r="A2" s="28" t="inlineStr">
        <is>
          <t>RepoC</t>
        </is>
      </c>
      <c r="B2" s="29" t="n">
        <v>0.28</v>
      </c>
      <c r="C2" s="29" t="inlineStr">
        <is>
          <t>unavailable</t>
        </is>
      </c>
      <c r="D2" s="29" t="inlineStr">
        <is>
          <t>unavailable</t>
        </is>
      </c>
      <c r="E2" s="29" t="inlineStr"/>
      <c r="F2" s="28" t="inlineStr"/>
    </row>
    <row r="3">
      <c r="A3" s="10" t="inlineStr">
        <is>
          <t>RepoB</t>
        </is>
      </c>
      <c r="B3" s="30" t="n">
        <v>0.66</v>
      </c>
      <c r="C3" s="30" t="inlineStr">
        <is>
          <t>unavailable</t>
        </is>
      </c>
      <c r="D3" s="30" t="inlineStr">
        <is>
          <t>unavailable</t>
        </is>
      </c>
      <c r="E3" s="30" t="inlineStr"/>
      <c r="F3" s="10" t="inlineStr"/>
    </row>
    <row r="4">
      <c r="A4" s="28" t="inlineStr">
        <is>
          <t>RepoA</t>
        </is>
      </c>
      <c r="B4" s="29" t="n">
        <v>0.82</v>
      </c>
      <c r="C4" s="29" t="inlineStr">
        <is>
          <t>unavailable</t>
        </is>
      </c>
      <c r="D4" s="29" t="inlineStr">
        <is>
          <t>unavailable</t>
        </is>
      </c>
      <c r="E4" s="29" t="inlineStr"/>
      <c r="F4" s="28" t="inlineStr"/>
    </row>
  </sheetData>
  <autoFilter ref="A1:F4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Mode</t>
        </is>
      </c>
      <c r="B1" t="inlineStr">
        <is>
          <t>standard</t>
        </is>
      </c>
    </row>
    <row r="2">
      <c r="A2" t="inlineStr">
        <is>
          <t>Review Open Count</t>
        </is>
      </c>
      <c r="B2" t="n">
        <v>1</v>
      </c>
    </row>
    <row r="3">
      <c r="A3" t="inlineStr">
        <is>
          <t>Review Deferred Count</t>
        </is>
      </c>
      <c r="B3" t="n">
        <v>0</v>
      </c>
    </row>
    <row r="4">
      <c r="A4" t="inlineStr">
        <is>
          <t>Review Resolved Count</t>
        </is>
      </c>
      <c r="B4" t="n">
        <v>0</v>
      </c>
    </row>
    <row r="5">
      <c r="A5" t="inlineStr">
        <is>
          <t>Campaign Action Count</t>
        </is>
      </c>
      <c r="B5" t="n">
        <v>1</v>
      </c>
    </row>
    <row r="6">
      <c r="A6" t="inlineStr">
        <is>
          <t>Campaign Repo Count</t>
        </is>
      </c>
      <c r="B6" t="n">
        <v>1</v>
      </c>
    </row>
    <row r="7">
      <c r="A7" t="inlineStr">
        <is>
          <t>Governance Ready Count</t>
        </is>
      </c>
      <c r="B7" t="n">
        <v>1</v>
      </c>
    </row>
    <row r="8">
      <c r="A8" t="inlineStr">
        <is>
          <t>Governance Drift Count</t>
        </is>
      </c>
      <c r="B8" t="n">
        <v>1</v>
      </c>
    </row>
    <row r="9">
      <c r="A9" t="inlineStr">
        <is>
          <t>Latest Portfolio Grade</t>
        </is>
      </c>
      <c r="B9" t="inlineStr">
        <is>
          <t>B</t>
        </is>
      </c>
    </row>
    <row r="10">
      <c r="A10" t="inlineStr">
        <is>
          <t>Latest Average Score</t>
        </is>
      </c>
      <c r="B10" t="n">
        <v>0.65</v>
      </c>
    </row>
    <row r="11">
      <c r="A11" t="inlineStr">
        <is>
          <t>Latest Review State</t>
        </is>
      </c>
      <c r="B11" t="inlineStr">
        <is>
          <t>open</t>
        </is>
      </c>
    </row>
    <row r="12">
      <c r="A12" t="inlineStr">
        <is>
          <t>Selected Profile</t>
        </is>
      </c>
      <c r="B12" t="inlineStr">
        <is>
          <t>default</t>
        </is>
      </c>
    </row>
    <row r="13">
      <c r="A13" t="inlineStr">
        <is>
          <t>Selected Collection</t>
        </is>
      </c>
      <c r="B13" t="inlineStr">
        <is>
          <t>all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tabColor rgb="00166534"/>
    <outlinePr summaryBelow="1" summaryRight="1"/>
    <pageSetUpPr/>
  </sheetPr>
  <dimension ref="A1:F16"/>
  <sheetViews>
    <sheetView showGridLines="1" zoomScale="105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13" customWidth="1" min="4" max="4"/>
    <col width="9" customWidth="1" min="5" max="5"/>
    <col width="53" customWidth="1" min="6" max="6"/>
  </cols>
  <sheetData>
    <row r="1">
      <c r="A1" s="77" t="inlineStr">
        <is>
          <t>SHIPPED (1 repos)</t>
        </is>
      </c>
    </row>
    <row r="2" ht="30" customHeight="1">
      <c r="A2" s="32" t="inlineStr">
        <is>
          <t>Repo</t>
        </is>
      </c>
      <c r="B2" s="32" t="inlineStr">
        <is>
          <t>Grade</t>
        </is>
      </c>
      <c r="C2" s="32" t="inlineStr">
        <is>
          <t>Score</t>
        </is>
      </c>
      <c r="D2" s="32" t="inlineStr">
        <is>
          <t>Language</t>
        </is>
      </c>
      <c r="E2" s="32" t="inlineStr">
        <is>
          <t>Badges</t>
        </is>
      </c>
      <c r="F2" s="32" t="inlineStr">
        <is>
          <t>Description</t>
        </is>
      </c>
    </row>
    <row r="3">
      <c r="A3" s="10" t="inlineStr">
        <is>
          <t>RepoA</t>
        </is>
      </c>
      <c r="B3" s="50" t="inlineStr">
        <is>
          <t>A</t>
        </is>
      </c>
      <c r="C3" s="10" t="n">
        <v>0.88</v>
      </c>
      <c r="D3" s="10" t="inlineStr">
        <is>
          <t>Python</t>
        </is>
      </c>
      <c r="E3" s="10" t="n">
        <v>2</v>
      </c>
      <c r="F3" s="10" t="inlineStr">
        <is>
          <t>A polished shipped project.</t>
        </is>
      </c>
    </row>
    <row r="4"/>
    <row r="5"/>
    <row r="6">
      <c r="A6" s="78" t="inlineStr">
        <is>
          <t>FUNCTIONAL (1 repos)</t>
        </is>
      </c>
    </row>
    <row r="7" ht="30" customHeight="1">
      <c r="A7" s="32" t="inlineStr">
        <is>
          <t>Repo</t>
        </is>
      </c>
      <c r="B7" s="32" t="inlineStr">
        <is>
          <t>Grade</t>
        </is>
      </c>
      <c r="C7" s="32" t="inlineStr">
        <is>
          <t>Score</t>
        </is>
      </c>
      <c r="D7" s="32" t="inlineStr">
        <is>
          <t>Language</t>
        </is>
      </c>
      <c r="E7" s="32" t="inlineStr">
        <is>
          <t>Badges</t>
        </is>
      </c>
      <c r="F7" s="32" t="inlineStr">
        <is>
          <t>Description</t>
        </is>
      </c>
    </row>
    <row r="8">
      <c r="A8" s="10" t="inlineStr">
        <is>
          <t>RepoB</t>
        </is>
      </c>
      <c r="B8" s="55" t="inlineStr">
        <is>
          <t>C</t>
        </is>
      </c>
      <c r="C8" s="10" t="n">
        <v>0.62</v>
      </c>
      <c r="D8" s="10" t="inlineStr">
        <is>
          <t>TypeScript</t>
        </is>
      </c>
      <c r="E8" s="10" t="n">
        <v>0</v>
      </c>
      <c r="F8" s="10" t="inlineStr">
        <is>
          <t>A functional project with follow-through left to d</t>
        </is>
      </c>
    </row>
    <row r="9"/>
    <row r="10"/>
    <row r="11">
      <c r="A11" s="79" t="inlineStr">
        <is>
          <t>WIP (1 repos)</t>
        </is>
      </c>
    </row>
    <row r="12" ht="30" customHeight="1">
      <c r="A12" s="32" t="inlineStr">
        <is>
          <t>Repo</t>
        </is>
      </c>
      <c r="B12" s="32" t="inlineStr">
        <is>
          <t>Grade</t>
        </is>
      </c>
      <c r="C12" s="32" t="inlineStr">
        <is>
          <t>Score</t>
        </is>
      </c>
      <c r="D12" s="32" t="inlineStr">
        <is>
          <t>Language</t>
        </is>
      </c>
      <c r="E12" s="32" t="inlineStr">
        <is>
          <t>Badges</t>
        </is>
      </c>
      <c r="F12" s="32" t="inlineStr">
        <is>
          <t>Description</t>
        </is>
      </c>
    </row>
    <row r="13">
      <c r="A13" s="10" t="inlineStr">
        <is>
          <t>RepoC</t>
        </is>
      </c>
      <c r="B13" s="59" t="inlineStr">
        <is>
          <t>D</t>
        </is>
      </c>
      <c r="C13" s="10" t="n">
        <v>0.44</v>
      </c>
      <c r="D13" s="10" t="inlineStr">
        <is>
          <t>Python</t>
        </is>
      </c>
      <c r="E13" s="10" t="n">
        <v>0</v>
      </c>
      <c r="F13" s="10" t="inlineStr">
        <is>
          <t>A risky work-in-progress project.</t>
        </is>
      </c>
    </row>
    <row r="14"/>
    <row r="15"/>
    <row r="16"/>
  </sheetData>
  <mergeCells count="3">
    <mergeCell ref="A6:F6"/>
    <mergeCell ref="A1:F1"/>
    <mergeCell ref="A11:F1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tabColor rgb="00311B92"/>
    <outlinePr summaryBelow="1" summaryRight="1"/>
    <pageSetUpPr/>
  </sheetPr>
  <dimension ref="A1:F15"/>
  <sheetViews>
    <sheetView showGridLines="1" zoomScale="110" zoomScaleNormal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Portfolio Trends</t>
        </is>
      </c>
    </row>
    <row r="2"/>
    <row r="3">
      <c r="A3" s="45" t="inlineStr">
        <is>
          <t>Run more audits to see trends (need 2+ historical runs)</t>
        </is>
      </c>
    </row>
    <row r="4"/>
    <row r="5"/>
    <row r="6"/>
    <row r="7"/>
    <row r="8"/>
    <row r="9"/>
    <row r="10"/>
    <row r="11"/>
    <row r="12"/>
    <row r="13"/>
    <row r="14"/>
    <row r="15"/>
  </sheetData>
  <mergeCells count="1">
    <mergeCell ref="A1:F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tabColor rgb="00B91C1C"/>
    <outlinePr summaryBelow="1" summaryRight="1"/>
    <pageSetUpPr/>
  </sheetPr>
  <dimension ref="A1:F18"/>
  <sheetViews>
    <sheetView showGridLines="0" zoomScale="110" zoomScaleNormal="10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0" customWidth="1" min="3" max="3"/>
    <col width="11" customWidth="1" min="4" max="4"/>
    <col width="48" customWidth="1" min="5" max="5"/>
    <col width="55" customWidth="1" min="6" max="6"/>
  </cols>
  <sheetData>
    <row r="1">
      <c r="A1" s="1" t="inlineStr">
        <is>
          <t>Writeback Audit</t>
        </is>
      </c>
    </row>
    <row r="2">
      <c r="A2" s="7" t="inlineStr">
        <is>
          <t>This sheet summarizes writeback outcomes and rollback confidence without mutating anything by itself.</t>
        </is>
      </c>
    </row>
    <row r="3"/>
    <row r="4">
      <c r="A4" s="6" t="inlineStr">
        <is>
          <t>Current Writeback State</t>
        </is>
      </c>
      <c r="E4" s="6" t="inlineStr">
        <is>
          <t>Action Sync Readiness</t>
        </is>
      </c>
    </row>
    <row r="5">
      <c r="A5" s="2" t="inlineStr">
        <is>
          <t>Writeback Rows</t>
        </is>
      </c>
      <c r="B5" s="10" t="n">
        <v>1</v>
      </c>
      <c r="E5" s="2" t="inlineStr">
        <is>
          <t>Action Sync Readiness</t>
        </is>
      </c>
      <c r="F5" s="10" t="inlineStr">
        <is>
          <t>No current campaign needs Action Sync yet, so the safest next move is to keep the story local.</t>
        </is>
      </c>
    </row>
    <row r="6">
      <c r="A6" s="2" t="inlineStr">
        <is>
          <t>Rollback Ready</t>
        </is>
      </c>
      <c r="B6" s="10" t="n">
        <v>0</v>
      </c>
      <c r="E6" s="2" t="inlineStr">
        <is>
          <t>Next Action Sync Step</t>
        </is>
      </c>
      <c r="F6" s="10" t="inlineStr">
        <is>
          <t>Stay local for now; no current campaign needs preview or apply.</t>
        </is>
      </c>
    </row>
    <row r="7">
      <c r="A7" s="2" t="inlineStr">
        <is>
          <t>Created / Updated / Closed</t>
        </is>
      </c>
      <c r="B7" s="10" t="inlineStr">
        <is>
          <t>1 / 0 / 0</t>
        </is>
      </c>
      <c r="E7" s="2" t="inlineStr">
        <is>
          <t>Apply Packet</t>
        </is>
      </c>
      <c r="F7" s="10" t="inlineStr">
        <is>
          <t>No current campaign has a safe execution handoff yet, so the local story should stay local for now.</t>
        </is>
      </c>
    </row>
    <row r="8">
      <c r="E8" s="2" t="inlineStr">
        <is>
          <t>Command Hint</t>
        </is>
      </c>
      <c r="F8" s="10" t="inlineStr">
        <is>
          <t>No Action Sync command is recommended yet.</t>
        </is>
      </c>
    </row>
    <row r="9">
      <c r="E9" s="2" t="inlineStr">
        <is>
          <t>Post-Apply Monitoring</t>
        </is>
      </c>
      <c r="F9" s="10" t="inlineStr">
        <is>
          <t>No recent Action Sync apply needs post-apply monitoring yet, so the local weekly story can stay local.</t>
        </is>
      </c>
    </row>
    <row r="10" ht="30" customHeight="1">
      <c r="A10" s="32" t="inlineStr">
        <is>
          <t>Repo</t>
        </is>
      </c>
      <c r="B10" s="32" t="inlineStr">
        <is>
          <t>Target</t>
        </is>
      </c>
      <c r="C10" s="32" t="inlineStr">
        <is>
          <t>Status</t>
        </is>
      </c>
      <c r="D10" s="32" t="inlineStr">
        <is>
          <t>Rollback</t>
        </is>
      </c>
      <c r="E10" s="32" t="inlineStr">
        <is>
          <t>URL</t>
        </is>
      </c>
      <c r="F10" s="48" t="inlineStr">
        <is>
          <t>Details</t>
        </is>
      </c>
    </row>
    <row r="11">
      <c r="A11" t="inlineStr">
        <is>
          <t>sample-user/RepoC</t>
        </is>
      </c>
      <c r="B11" t="inlineStr">
        <is>
          <t>github-issue</t>
        </is>
      </c>
      <c r="C11" t="inlineStr">
        <is>
          <t>created</t>
        </is>
      </c>
      <c r="D11" t="inlineStr">
        <is>
          <t>partial</t>
        </is>
      </c>
      <c r="E11" s="2" t="inlineStr">
        <is>
          <t>https://github.com/sample-user/RepoC/issues/1</t>
        </is>
      </c>
      <c r="F11" s="10" t="inlineStr">
        <is>
          <t>{"repo_full_name": "sample-user/RepoC", "target": "github-issue", "status": "created", "url": "https://github.com/sample-user/RepoC/issues/1"}</t>
        </is>
      </c>
    </row>
    <row r="12">
      <c r="E12" s="2" t="inlineStr">
        <is>
          <t>Next Tie-Break Candidate</t>
        </is>
      </c>
      <c r="F12" s="10" t="inlineStr">
        <is>
          <t>No current campaign needs a tuning tie-break yet.</t>
        </is>
      </c>
    </row>
    <row r="13">
      <c r="E13" s="2" t="inlineStr">
        <is>
          <t>Historical Portfolio Intelligence</t>
        </is>
      </c>
      <c r="F13" s="10" t="inlineStr">
        <is>
          <t>Historical portfolio intelligence is still thin, so the weekly story should stay grounded in the current run and recent operator queue.</t>
        </is>
      </c>
    </row>
    <row r="14">
      <c r="E14" s="2" t="inlineStr">
        <is>
          <t>Next Historical Focus</t>
        </is>
      </c>
      <c r="F14" s="10" t="inlineStr">
        <is>
          <t>Stay local for now; no repo has enough cross-run intervention evidence to demand a historical follow-up read yet.</t>
        </is>
      </c>
    </row>
    <row r="15">
      <c r="E15" s="2" t="inlineStr">
        <is>
          <t>Automation Guidance</t>
        </is>
      </c>
      <c r="F15" s="10" t="inlineStr">
        <is>
          <t>Automation guidance stays quiet until a campaign has a clearly safe preview, follow-up, or manual-only posture.</t>
        </is>
      </c>
    </row>
    <row r="16">
      <c r="E16" s="2" t="inlineStr">
        <is>
          <t>Next Safe Automation Step</t>
        </is>
      </c>
      <c r="F16" s="10" t="inlineStr">
        <is>
          <t>Stay local for now; no current campaign has a stronger safe automation posture than manual review.</t>
        </is>
      </c>
    </row>
    <row r="17">
      <c r="E17" s="2" t="inlineStr">
        <is>
          <t>Approval Workflow</t>
        </is>
      </c>
      <c r="F17" s="10" t="inlineStr">
        <is>
          <t>No current approval needs review yet, so the approval workflow can stay local for now.</t>
        </is>
      </c>
    </row>
    <row r="18">
      <c r="E18" s="2" t="inlineStr">
        <is>
          <t>Next Approval Review</t>
        </is>
      </c>
      <c r="F18" s="10" t="inlineStr">
        <is>
          <t>Stay local for now; no current approval needs review.</t>
        </is>
      </c>
    </row>
  </sheetData>
  <autoFilter ref="A10:F1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2026-06-08T05:03:51Z</dcterms:created>
  <dcterms:modified xmlns:dcterms="http://purl.org/dc/terms/" xmlns:xsi="http://www.w3.org/2001/XMLSchema-instance" xsi:type="dcterms:W3CDTF">2026-06-08T05:03:51Z</dcterms:modified>
</cp:coreProperties>
</file>